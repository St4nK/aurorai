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.castan\Documents\AurorAI\AurorAIApp\uploads\CandM\"/>
    </mc:Choice>
  </mc:AlternateContent>
  <bookViews>
    <workbookView xWindow="0" yWindow="0" windowWidth="19200" windowHeight="6948" activeTab="2"/>
  </bookViews>
  <sheets>
    <sheet name="Sheet1" sheetId="14" r:id="rId1"/>
    <sheet name="Sheet2" sheetId="15" r:id="rId2"/>
    <sheet name="Test Data Takeda" sheetId="1" r:id="rId3"/>
    <sheet name="Assumptions" sheetId="13" r:id="rId4"/>
  </sheets>
  <definedNames>
    <definedName name="_xlnm._FilterDatabase" localSheetId="2" hidden="1">'Test Data Takeda'!$A$1:$P$198</definedName>
  </definedNames>
  <calcPr calcId="171027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3" l="1"/>
  <c r="D21" i="13"/>
  <c r="D28" i="13"/>
  <c r="D25" i="13"/>
  <c r="L198" i="1"/>
  <c r="L197" i="1"/>
  <c r="L196" i="1"/>
  <c r="L189" i="1"/>
  <c r="L188" i="1"/>
  <c r="L187" i="1"/>
  <c r="L180" i="1"/>
  <c r="L179" i="1"/>
  <c r="L178" i="1"/>
  <c r="L171" i="1"/>
  <c r="L170" i="1"/>
  <c r="L169" i="1"/>
  <c r="L162" i="1"/>
  <c r="L161" i="1"/>
  <c r="L160" i="1"/>
  <c r="L153" i="1"/>
  <c r="L152" i="1"/>
  <c r="L151" i="1"/>
  <c r="L144" i="1"/>
  <c r="I144" i="1" s="1"/>
  <c r="L143" i="1"/>
  <c r="I143" i="1" s="1"/>
  <c r="I142" i="1"/>
  <c r="L135" i="1"/>
  <c r="I135" i="1" s="1"/>
  <c r="L134" i="1"/>
  <c r="I134" i="1" s="1"/>
  <c r="L133" i="1"/>
  <c r="I133" i="1" s="1"/>
  <c r="I126" i="1"/>
  <c r="I125" i="1"/>
  <c r="I124" i="1"/>
  <c r="L117" i="1"/>
  <c r="I117" i="1" s="1"/>
  <c r="L116" i="1"/>
  <c r="I116" i="1" s="1"/>
  <c r="L115" i="1"/>
  <c r="I115" i="1" s="1"/>
  <c r="L108" i="1"/>
  <c r="I108" i="1" s="1"/>
  <c r="L107" i="1"/>
  <c r="I107" i="1" s="1"/>
  <c r="L106" i="1"/>
  <c r="I106" i="1" s="1"/>
  <c r="L99" i="1"/>
  <c r="I99" i="1" s="1"/>
  <c r="L98" i="1"/>
  <c r="I98" i="1" s="1"/>
  <c r="L97" i="1"/>
  <c r="I97" i="1" s="1"/>
  <c r="L91" i="1"/>
  <c r="L90" i="1"/>
  <c r="L89" i="1"/>
  <c r="L82" i="1"/>
  <c r="L81" i="1"/>
  <c r="L80" i="1"/>
  <c r="L73" i="1"/>
  <c r="L72" i="1"/>
  <c r="L71" i="1"/>
  <c r="L64" i="1"/>
  <c r="L63" i="1"/>
  <c r="L62" i="1"/>
  <c r="L55" i="1"/>
  <c r="L54" i="1"/>
  <c r="L53" i="1"/>
  <c r="L46" i="1"/>
  <c r="L45" i="1"/>
  <c r="L44" i="1"/>
  <c r="L37" i="1"/>
  <c r="L36" i="1"/>
  <c r="L35" i="1"/>
  <c r="L28" i="1"/>
  <c r="L27" i="1"/>
  <c r="L26" i="1"/>
  <c r="L19" i="1"/>
  <c r="L18" i="1"/>
  <c r="L17" i="1"/>
  <c r="L10" i="1"/>
  <c r="L9" i="1"/>
  <c r="I141" i="1"/>
  <c r="I140" i="1"/>
  <c r="I139" i="1"/>
  <c r="I132" i="1"/>
  <c r="I131" i="1"/>
  <c r="I130" i="1"/>
  <c r="I123" i="1"/>
  <c r="I122" i="1"/>
  <c r="I121" i="1"/>
  <c r="I114" i="1"/>
  <c r="I113" i="1"/>
  <c r="I112" i="1"/>
  <c r="I105" i="1"/>
  <c r="I104" i="1"/>
  <c r="I103" i="1"/>
  <c r="I96" i="1"/>
  <c r="I95" i="1"/>
  <c r="I94" i="1"/>
  <c r="L75" i="1" l="1"/>
  <c r="I75" i="1" s="1"/>
  <c r="L76" i="1"/>
  <c r="I76" i="1" s="1"/>
  <c r="L77" i="1"/>
  <c r="I77" i="1" s="1"/>
  <c r="L78" i="1"/>
  <c r="I78" i="1" s="1"/>
  <c r="L79" i="1"/>
  <c r="I79" i="1" s="1"/>
  <c r="I80" i="1"/>
  <c r="I81" i="1"/>
  <c r="I82" i="1"/>
  <c r="L83" i="1"/>
  <c r="I83" i="1" s="1"/>
  <c r="L84" i="1"/>
  <c r="I84" i="1" s="1"/>
  <c r="L85" i="1"/>
  <c r="I85" i="1" s="1"/>
  <c r="L86" i="1"/>
  <c r="I86" i="1" s="1"/>
  <c r="L87" i="1"/>
  <c r="I87" i="1" s="1"/>
  <c r="L88" i="1"/>
  <c r="I88" i="1" s="1"/>
  <c r="I89" i="1"/>
  <c r="I90" i="1"/>
  <c r="I91" i="1"/>
  <c r="L92" i="1"/>
  <c r="I92" i="1" s="1"/>
  <c r="L74" i="1"/>
  <c r="I74" i="1" s="1"/>
  <c r="I93" i="1"/>
  <c r="I100" i="1"/>
  <c r="I101" i="1"/>
  <c r="I102" i="1"/>
  <c r="I109" i="1"/>
  <c r="I110" i="1"/>
  <c r="I111" i="1"/>
  <c r="I118" i="1"/>
  <c r="I119" i="1"/>
  <c r="I120" i="1"/>
  <c r="I127" i="1"/>
  <c r="I128" i="1"/>
  <c r="I129" i="1"/>
  <c r="I136" i="1"/>
  <c r="I137" i="1"/>
  <c r="I138" i="1"/>
  <c r="I73" i="1" l="1"/>
  <c r="I72" i="1"/>
  <c r="I71" i="1"/>
  <c r="L70" i="1"/>
  <c r="I70" i="1" s="1"/>
  <c r="L69" i="1"/>
  <c r="I69" i="1" s="1"/>
  <c r="L68" i="1"/>
  <c r="I68" i="1" s="1"/>
  <c r="L67" i="1"/>
  <c r="I67" i="1" s="1"/>
  <c r="L66" i="1"/>
  <c r="I66" i="1" s="1"/>
  <c r="L65" i="1"/>
  <c r="I65" i="1" s="1"/>
  <c r="I64" i="1"/>
  <c r="I63" i="1"/>
  <c r="I62" i="1"/>
  <c r="L61" i="1"/>
  <c r="I61" i="1" s="1"/>
  <c r="L60" i="1"/>
  <c r="I60" i="1" s="1"/>
  <c r="L59" i="1"/>
  <c r="I59" i="1" s="1"/>
  <c r="L58" i="1"/>
  <c r="I58" i="1" s="1"/>
  <c r="L57" i="1"/>
  <c r="I57" i="1" s="1"/>
  <c r="L56" i="1"/>
  <c r="I56" i="1" s="1"/>
  <c r="I55" i="1"/>
  <c r="I54" i="1"/>
  <c r="I53" i="1"/>
  <c r="L52" i="1"/>
  <c r="I52" i="1" s="1"/>
  <c r="L51" i="1"/>
  <c r="I51" i="1" s="1"/>
  <c r="L50" i="1"/>
  <c r="I50" i="1" s="1"/>
  <c r="L49" i="1"/>
  <c r="I49" i="1" s="1"/>
  <c r="L48" i="1"/>
  <c r="I48" i="1" s="1"/>
  <c r="L47" i="1"/>
  <c r="I47" i="1" s="1"/>
  <c r="I46" i="1"/>
  <c r="I45" i="1"/>
  <c r="I44" i="1"/>
  <c r="L43" i="1"/>
  <c r="I43" i="1" s="1"/>
  <c r="L42" i="1"/>
  <c r="I42" i="1" s="1"/>
  <c r="L41" i="1"/>
  <c r="I41" i="1" s="1"/>
  <c r="L40" i="1"/>
  <c r="I40" i="1" s="1"/>
  <c r="L39" i="1"/>
  <c r="I39" i="1" s="1"/>
  <c r="L38" i="1"/>
  <c r="I38" i="1" s="1"/>
  <c r="I37" i="1"/>
  <c r="I36" i="1"/>
  <c r="I35" i="1"/>
  <c r="L34" i="1"/>
  <c r="I34" i="1" s="1"/>
  <c r="L33" i="1"/>
  <c r="I33" i="1" s="1"/>
  <c r="L32" i="1"/>
  <c r="I32" i="1" s="1"/>
  <c r="L31" i="1"/>
  <c r="I31" i="1" s="1"/>
  <c r="L30" i="1"/>
  <c r="I30" i="1" s="1"/>
  <c r="L29" i="1"/>
  <c r="I29" i="1" s="1"/>
  <c r="I28" i="1"/>
  <c r="I27" i="1"/>
  <c r="I26" i="1"/>
  <c r="L25" i="1"/>
  <c r="I25" i="1" s="1"/>
  <c r="L24" i="1"/>
  <c r="I24" i="1" s="1"/>
  <c r="L23" i="1"/>
  <c r="I23" i="1" s="1"/>
  <c r="L22" i="1"/>
  <c r="I22" i="1" s="1"/>
  <c r="L21" i="1"/>
  <c r="I21" i="1" s="1"/>
  <c r="L20" i="1"/>
  <c r="I20" i="1" s="1"/>
  <c r="I19" i="1"/>
  <c r="I18" i="1"/>
  <c r="I17" i="1"/>
  <c r="L16" i="1"/>
  <c r="I16" i="1" s="1"/>
  <c r="L15" i="1"/>
  <c r="I15" i="1" s="1"/>
  <c r="L14" i="1"/>
  <c r="I14" i="1" s="1"/>
  <c r="L13" i="1"/>
  <c r="I13" i="1" s="1"/>
  <c r="L12" i="1"/>
  <c r="I12" i="1" s="1"/>
  <c r="L11" i="1"/>
  <c r="I11" i="1" s="1"/>
  <c r="I10" i="1"/>
  <c r="I9" i="1"/>
  <c r="L8" i="1"/>
  <c r="I8" i="1" s="1"/>
  <c r="L7" i="1"/>
  <c r="I7" i="1" s="1"/>
  <c r="L6" i="1"/>
  <c r="I6" i="1" s="1"/>
  <c r="L5" i="1"/>
  <c r="I5" i="1" s="1"/>
  <c r="L4" i="1"/>
  <c r="I4" i="1" s="1"/>
  <c r="L3" i="1"/>
  <c r="I3" i="1" s="1"/>
  <c r="L2" i="1"/>
  <c r="I2" i="1" s="1"/>
  <c r="L145" i="1"/>
  <c r="I145" i="1" s="1"/>
  <c r="L146" i="1"/>
  <c r="I146" i="1" s="1"/>
  <c r="L147" i="1"/>
  <c r="I147" i="1" s="1"/>
  <c r="L148" i="1"/>
  <c r="I148" i="1" s="1"/>
  <c r="L149" i="1"/>
  <c r="I149" i="1" s="1"/>
  <c r="L150" i="1"/>
  <c r="I150" i="1" s="1"/>
  <c r="I151" i="1"/>
  <c r="I152" i="1"/>
  <c r="I153" i="1"/>
  <c r="L154" i="1"/>
  <c r="I154" i="1" s="1"/>
  <c r="L155" i="1"/>
  <c r="I155" i="1" s="1"/>
  <c r="L156" i="1"/>
  <c r="I156" i="1" s="1"/>
  <c r="L157" i="1"/>
  <c r="I157" i="1" s="1"/>
  <c r="L158" i="1"/>
  <c r="I158" i="1" s="1"/>
  <c r="L159" i="1"/>
  <c r="I159" i="1" s="1"/>
  <c r="I160" i="1"/>
  <c r="I161" i="1"/>
  <c r="I162" i="1"/>
  <c r="L163" i="1"/>
  <c r="I163" i="1" s="1"/>
  <c r="L164" i="1"/>
  <c r="I164" i="1" s="1"/>
  <c r="L165" i="1"/>
  <c r="I165" i="1" s="1"/>
  <c r="L166" i="1"/>
  <c r="I166" i="1" s="1"/>
  <c r="L167" i="1"/>
  <c r="I167" i="1" s="1"/>
  <c r="L168" i="1"/>
  <c r="I168" i="1" s="1"/>
  <c r="I169" i="1"/>
  <c r="I170" i="1"/>
  <c r="I171" i="1"/>
  <c r="L172" i="1"/>
  <c r="I172" i="1" s="1"/>
  <c r="L173" i="1"/>
  <c r="I173" i="1" s="1"/>
  <c r="L174" i="1"/>
  <c r="I174" i="1" s="1"/>
  <c r="L175" i="1"/>
  <c r="I175" i="1" s="1"/>
  <c r="L176" i="1"/>
  <c r="I176" i="1" s="1"/>
  <c r="L177" i="1"/>
  <c r="I177" i="1" s="1"/>
  <c r="I178" i="1"/>
  <c r="I179" i="1"/>
  <c r="I180" i="1"/>
  <c r="I198" i="1" l="1"/>
  <c r="I197" i="1"/>
  <c r="I196" i="1"/>
  <c r="L195" i="1"/>
  <c r="I195" i="1" s="1"/>
  <c r="L194" i="1"/>
  <c r="I194" i="1" s="1"/>
  <c r="L193" i="1"/>
  <c r="I193" i="1" s="1"/>
  <c r="I189" i="1"/>
  <c r="I188" i="1"/>
  <c r="I187" i="1"/>
  <c r="L186" i="1"/>
  <c r="I186" i="1" s="1"/>
  <c r="L185" i="1"/>
  <c r="I185" i="1" s="1"/>
  <c r="L184" i="1"/>
  <c r="I184" i="1" s="1"/>
  <c r="L192" i="1"/>
  <c r="I192" i="1" s="1"/>
  <c r="L191" i="1"/>
  <c r="I191" i="1" s="1"/>
  <c r="L190" i="1"/>
  <c r="I190" i="1" s="1"/>
  <c r="L183" i="1"/>
  <c r="I183" i="1" s="1"/>
  <c r="L182" i="1"/>
  <c r="I182" i="1" s="1"/>
  <c r="L181" i="1"/>
  <c r="I181" i="1" s="1"/>
</calcChain>
</file>

<file path=xl/sharedStrings.xml><?xml version="1.0" encoding="utf-8"?>
<sst xmlns="http://schemas.openxmlformats.org/spreadsheetml/2006/main" count="1270" uniqueCount="68">
  <si>
    <t>Scenario</t>
  </si>
  <si>
    <t>Package</t>
  </si>
  <si>
    <t>Region</t>
  </si>
  <si>
    <t>Country</t>
  </si>
  <si>
    <t>Function</t>
  </si>
  <si>
    <t>Budget</t>
  </si>
  <si>
    <t xml:space="preserve">Actual </t>
  </si>
  <si>
    <t>Forecast</t>
  </si>
  <si>
    <t>Travel</t>
  </si>
  <si>
    <t>Airfare</t>
  </si>
  <si>
    <t>Lodging</t>
  </si>
  <si>
    <t>meals</t>
  </si>
  <si>
    <t>HR</t>
  </si>
  <si>
    <t>Sales</t>
  </si>
  <si>
    <t>Eucan</t>
  </si>
  <si>
    <t>Switzerland</t>
  </si>
  <si>
    <t>UK</t>
  </si>
  <si>
    <t>France</t>
  </si>
  <si>
    <t>Italy</t>
  </si>
  <si>
    <t>Japan</t>
  </si>
  <si>
    <t>North America</t>
  </si>
  <si>
    <t>Illinois</t>
  </si>
  <si>
    <t>New York</t>
  </si>
  <si>
    <t>China</t>
  </si>
  <si>
    <t>Russia</t>
  </si>
  <si>
    <t>Brazil</t>
  </si>
  <si>
    <t>Manufacturing</t>
  </si>
  <si>
    <t>Procurement</t>
  </si>
  <si>
    <t>IT</t>
  </si>
  <si>
    <t>Finance</t>
  </si>
  <si>
    <t>Supply Chain</t>
  </si>
  <si>
    <t>Supply chain</t>
  </si>
  <si>
    <t>EM</t>
  </si>
  <si>
    <t>Total amount of trips</t>
  </si>
  <si>
    <t>Assumptions</t>
  </si>
  <si>
    <t>NA</t>
  </si>
  <si>
    <t>Countires/states</t>
  </si>
  <si>
    <t>Netto revenue</t>
  </si>
  <si>
    <t>Total</t>
  </si>
  <si>
    <t>total cost of subpackage</t>
  </si>
  <si>
    <t>This is the total amount of trips that is being done on a monthly basis.</t>
  </si>
  <si>
    <t>Hence all people that travelled where multiplied with 1,3</t>
  </si>
  <si>
    <t>Below all yearly NR's are displayed:</t>
  </si>
  <si>
    <t>this is the total cost for a specific aspect of the trip (airfare/lodging/meal)</t>
  </si>
  <si>
    <t>To compete this we multiplied the amount of trips multiplied with the the cost per unit and the length of the trip</t>
  </si>
  <si>
    <t>Note that for the airfare the legth of the trip was not factured in since this cost is only occuring once</t>
  </si>
  <si>
    <t>The assumption is made that 30% of the employees that travel also travel twice a month</t>
  </si>
  <si>
    <t>All mentioned NR's in the data file are an average (/12) of the year NR per month</t>
  </si>
  <si>
    <t>Row Labels</t>
  </si>
  <si>
    <t>Grand Total</t>
  </si>
  <si>
    <t>EM Total</t>
  </si>
  <si>
    <t>Eucan Total</t>
  </si>
  <si>
    <t>Japan Total</t>
  </si>
  <si>
    <t>North America Total</t>
  </si>
  <si>
    <t>Illinois Total</t>
  </si>
  <si>
    <t>Sum of #  of people that travel this month</t>
  </si>
  <si>
    <t>Sum of Average cost a person</t>
  </si>
  <si>
    <t>SubPackage</t>
  </si>
  <si>
    <t>FTE</t>
  </si>
  <si>
    <t>Month</t>
  </si>
  <si>
    <t>Spend</t>
  </si>
  <si>
    <t>FTE_travel</t>
  </si>
  <si>
    <t>NR_Month</t>
  </si>
  <si>
    <t>Total_Trips</t>
  </si>
  <si>
    <t>Trips_14D</t>
  </si>
  <si>
    <t>DomTrip_2D</t>
  </si>
  <si>
    <t>UnitPrice</t>
  </si>
  <si>
    <t>Trip_length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</si>
</sst>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0" xfId="0" applyBorder="1"/>
    <xf numFmtId="1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0" xfId="1" applyFont="1" applyBorder="1"/>
    <xf numFmtId="164" fontId="2" fillId="2" borderId="2" xfId="1" applyFont="1" applyFill="1" applyBorder="1"/>
    <xf numFmtId="165" fontId="0" fillId="0" borderId="0" xfId="1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5" fontId="0" fillId="0" borderId="0" xfId="1" applyNumberFormat="1" applyFont="1"/>
    <xf numFmtId="0" fontId="5" fillId="0" borderId="0" xfId="0" applyFont="1" applyFill="1" applyBorder="1"/>
    <xf numFmtId="165" fontId="3" fillId="0" borderId="0" xfId="1" applyNumberFormat="1" applyFont="1"/>
    <xf numFmtId="165" fontId="1" fillId="0" borderId="0" xfId="1" applyNumberFormat="1" applyFont="1"/>
    <xf numFmtId="165" fontId="3" fillId="0" borderId="0" xfId="0" applyNumberFormat="1" applyFont="1"/>
    <xf numFmtId="0" fontId="0" fillId="0" borderId="0" xfId="0" applyAlignment="1"/>
    <xf numFmtId="0" fontId="0" fillId="0" borderId="0" xfId="0" applyBorder="1" applyAlignment="1"/>
    <xf numFmtId="0" fontId="0" fillId="4" borderId="0" xfId="0" applyFont="1" applyFill="1"/>
    <xf numFmtId="0" fontId="6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[Takeda test 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Function </a:t>
            </a:r>
            <a:r>
              <a:rPr lang="en-US" baseline="0"/>
              <a:t>Illinois</a:t>
            </a:r>
            <a:endParaRPr lang="en-US"/>
          </a:p>
        </c:rich>
      </c:tx>
      <c:layout>
        <c:manualLayout>
          <c:xMode val="edge"/>
          <c:yMode val="edge"/>
          <c:x val="0.47241779275407164"/>
          <c:y val="0.245041217355161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353713586962726"/>
          <c:y val="0.35306255339783404"/>
          <c:w val="0.2574743127018852"/>
          <c:h val="0.59421733741615634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59-4EF2-9C20-8401D4D6E9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02-4B45-8C5D-203C1311CA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02-4B45-8C5D-203C1311CA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02-4B45-8C5D-203C1311CA1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Sheet1!$A$2:$A$10</c:f>
              <c:multiLvlStrCache>
                <c:ptCount val="4"/>
                <c:lvl>
                  <c:pt idx="0">
                    <c:v>Finance</c:v>
                  </c:pt>
                  <c:pt idx="1">
                    <c:v>IT</c:v>
                  </c:pt>
                  <c:pt idx="2">
                    <c:v>Manufacturing</c:v>
                  </c:pt>
                  <c:pt idx="3">
                    <c:v>Procurement</c:v>
                  </c:pt>
                </c:lvl>
                <c:lvl>
                  <c:pt idx="0">
                    <c:v>Illinois</c:v>
                  </c:pt>
                </c:lvl>
                <c:lvl>
                  <c:pt idx="0">
                    <c:v>North America</c:v>
                  </c:pt>
                </c:lvl>
              </c:multiLvlStrCache>
            </c:multiLvlStrRef>
          </c:cat>
          <c:val>
            <c:numRef>
              <c:f>Sheet1!$B$2:$B$10</c:f>
              <c:numCache>
                <c:formatCode>General</c:formatCode>
                <c:ptCount val="4"/>
                <c:pt idx="0">
                  <c:v>414</c:v>
                </c:pt>
                <c:pt idx="1">
                  <c:v>81</c:v>
                </c:pt>
                <c:pt idx="2">
                  <c:v>132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9-4EF2-9C20-8401D4D6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[Takeda test data.XLSX]Sheet2!PivotTable2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Sheet2!$A$2:$A$22</c:f>
              <c:multiLvlStrCache>
                <c:ptCount val="12"/>
                <c:lvl>
                  <c:pt idx="0">
                    <c:v>Airfare</c:v>
                  </c:pt>
                  <c:pt idx="1">
                    <c:v>Lodging</c:v>
                  </c:pt>
                  <c:pt idx="2">
                    <c:v>meals</c:v>
                  </c:pt>
                  <c:pt idx="3">
                    <c:v>Airfare</c:v>
                  </c:pt>
                  <c:pt idx="4">
                    <c:v>Lodging</c:v>
                  </c:pt>
                  <c:pt idx="5">
                    <c:v>meals</c:v>
                  </c:pt>
                  <c:pt idx="6">
                    <c:v>Airfare</c:v>
                  </c:pt>
                  <c:pt idx="7">
                    <c:v>Lodging</c:v>
                  </c:pt>
                  <c:pt idx="8">
                    <c:v>meals</c:v>
                  </c:pt>
                  <c:pt idx="9">
                    <c:v>Airfare</c:v>
                  </c:pt>
                  <c:pt idx="10">
                    <c:v>Lodging</c:v>
                  </c:pt>
                  <c:pt idx="11">
                    <c:v>meals</c:v>
                  </c:pt>
                </c:lvl>
                <c:lvl>
                  <c:pt idx="0">
                    <c:v>EM</c:v>
                  </c:pt>
                  <c:pt idx="3">
                    <c:v>Eucan</c:v>
                  </c:pt>
                  <c:pt idx="6">
                    <c:v>Japan</c:v>
                  </c:pt>
                  <c:pt idx="9">
                    <c:v>North America</c:v>
                  </c:pt>
                </c:lvl>
              </c:multiLvlStrCache>
            </c:multiLvlStrRef>
          </c:cat>
          <c:val>
            <c:numRef>
              <c:f>Sheet2!$B$2:$B$22</c:f>
              <c:numCache>
                <c:formatCode>General</c:formatCode>
                <c:ptCount val="12"/>
                <c:pt idx="0">
                  <c:v>21257.576741259476</c:v>
                </c:pt>
                <c:pt idx="1">
                  <c:v>19146.75853924669</c:v>
                </c:pt>
                <c:pt idx="2">
                  <c:v>2767.9462951622777</c:v>
                </c:pt>
                <c:pt idx="3">
                  <c:v>66651</c:v>
                </c:pt>
                <c:pt idx="4">
                  <c:v>7004.4</c:v>
                </c:pt>
                <c:pt idx="5">
                  <c:v>5109</c:v>
                </c:pt>
                <c:pt idx="6">
                  <c:v>17269.2</c:v>
                </c:pt>
                <c:pt idx="7">
                  <c:v>6974.5</c:v>
                </c:pt>
                <c:pt idx="8">
                  <c:v>2418</c:v>
                </c:pt>
                <c:pt idx="9">
                  <c:v>34097.700000000004</c:v>
                </c:pt>
                <c:pt idx="10">
                  <c:v>13408.2</c:v>
                </c:pt>
                <c:pt idx="11">
                  <c:v>4184.7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2-4FDE-AE2C-02D68DA5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559000"/>
        <c:axId val="287558672"/>
      </c:barChart>
      <c:catAx>
        <c:axId val="28755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58672"/>
        <c:crosses val="autoZero"/>
        <c:auto val="1"/>
        <c:lblAlgn val="ctr"/>
        <c:lblOffset val="100"/>
        <c:noMultiLvlLbl val="0"/>
      </c:catAx>
      <c:valAx>
        <c:axId val="2875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5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1270000</xdr:colOff>
      <xdr:row>9</xdr:row>
      <xdr:rowOff>76200</xdr:rowOff>
    </xdr:from>
    <xdr:to>
      <xdr:col>2</xdr:col>
      <xdr:colOff>1765300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1DB15-8D4D-410E-B3AE-FEA6DEDA1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4</xdr:row>
      <xdr:rowOff>31750</xdr:rowOff>
    </xdr:from>
    <xdr:to>
      <xdr:col>10</xdr:col>
      <xdr:colOff>405130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E281B-C41F-4864-B218-533EE684E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es, Jeroen" refreshedDate="42932.670052662033" createdVersion="6" refreshedVersion="6" minRefreshableVersion="3" recordCount="197">
  <cacheSource type="worksheet">
    <worksheetSource ref="A1:P198" sheet="Test Data Takeda"/>
  </cacheSource>
  <cacheFields count="17">
    <cacheField name="Region" numFmtId="0">
      <sharedItems count="4">
        <s v="Eucan"/>
        <s v="Japan"/>
        <s v="EM"/>
        <s v="North America"/>
      </sharedItems>
    </cacheField>
    <cacheField name="Country" numFmtId="0">
      <sharedItems count="10">
        <s v="Switzerland"/>
        <s v="UK"/>
        <s v="France"/>
        <s v="Italy"/>
        <s v="Japan"/>
        <s v="China"/>
        <s v="Russia"/>
        <s v="Brazil"/>
        <s v="Illinois"/>
        <s v="New York"/>
      </sharedItems>
    </cacheField>
    <cacheField name="Function" numFmtId="0">
      <sharedItems count="7">
        <s v="Procurement"/>
        <s v="Sales"/>
        <s v="HR"/>
        <s v="Supply chain"/>
        <s v="Manufacturing"/>
        <s v="Finance"/>
        <s v="IT"/>
      </sharedItems>
    </cacheField>
    <cacheField name="Scenario" numFmtId="0">
      <sharedItems count="3">
        <s v="Budget"/>
        <s v="Actual "/>
        <s v="Forecast"/>
      </sharedItems>
    </cacheField>
    <cacheField name="Package" numFmtId="0">
      <sharedItems/>
    </cacheField>
    <cacheField name="Sub-Package" numFmtId="0">
      <sharedItems count="3">
        <s v="Airfare"/>
        <s v="Lodging"/>
        <s v="meals"/>
      </sharedItems>
    </cacheField>
    <cacheField name="# total count of people in the unit" numFmtId="0">
      <sharedItems containsSemiMixedTypes="0" containsString="0" containsNumber="1" containsInteger="1" minValue="34" maxValue="380"/>
    </cacheField>
    <cacheField name="exact month of travelling" numFmtId="0">
      <sharedItems containsSemiMixedTypes="0" containsString="0" containsNumber="1" containsInteger="1" minValue="1" maxValue="12"/>
    </cacheField>
    <cacheField name="# total cost per sub-package" numFmtId="164">
      <sharedItems containsSemiMixedTypes="0" containsString="0" containsNumber="1" minValue="332.8" maxValue="150684.30000000002"/>
    </cacheField>
    <cacheField name="#  of people that travel this month" numFmtId="0">
      <sharedItems containsSemiMixedTypes="0" containsString="0" containsNumber="1" containsInteger="1" minValue="4" maxValue="92"/>
    </cacheField>
    <cacheField name="Average NR/month" numFmtId="165">
      <sharedItems containsSemiMixedTypes="0" containsString="0" containsNumber="1" minValue="2333333.3333333302" maxValue="8750000"/>
    </cacheField>
    <cacheField name="Total amount of trips" numFmtId="1">
      <sharedItems containsSemiMixedTypes="0" containsString="0" containsNumber="1" minValue="5.2" maxValue="77"/>
    </cacheField>
    <cacheField name="trips&lt;14d" numFmtId="0">
      <sharedItems containsNonDate="0" containsString="0" containsBlank="1"/>
    </cacheField>
    <cacheField name="domtrips&gt;2d" numFmtId="0">
      <sharedItems containsNonDate="0" containsString="0" containsBlank="1"/>
    </cacheField>
    <cacheField name="Price/unit" numFmtId="164">
      <sharedItems containsSemiMixedTypes="0" containsString="0" containsNumber="1" containsInteger="1" minValue="28" maxValue="2987"/>
    </cacheField>
    <cacheField name="length of trip" numFmtId="0">
      <sharedItems containsString="0" containsBlank="1" containsNumber="1" containsInteger="1" minValue="2" maxValue="5"/>
    </cacheField>
    <cacheField name="Average cost a person" numFmtId="165">
      <sharedItems containsSemiMixedTypes="0" containsString="0" containsNumber="1" minValue="16" maxValue="3883.1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">
  <r>
    <x v="0"/>
    <x v="0"/>
    <x v="0"/>
    <x v="0"/>
    <s v="Travel"/>
    <x v="0"/>
    <n v="110"/>
    <n v="2"/>
    <n v="33976.800000000003"/>
    <n v="12"/>
    <n v="4916666.6666666605"/>
    <n v="15.600000000000001"/>
    <m/>
    <m/>
    <n v="2178"/>
    <m/>
    <n v="2831.4"/>
  </r>
  <r>
    <x v="0"/>
    <x v="0"/>
    <x v="0"/>
    <x v="1"/>
    <s v="Travel"/>
    <x v="0"/>
    <n v="110"/>
    <n v="2"/>
    <n v="36163.4"/>
    <n v="14"/>
    <n v="4916666.6666666605"/>
    <n v="18.2"/>
    <m/>
    <m/>
    <n v="1987"/>
    <m/>
    <n v="2583.1"/>
  </r>
  <r>
    <x v="0"/>
    <x v="0"/>
    <x v="0"/>
    <x v="2"/>
    <s v="Travel"/>
    <x v="0"/>
    <n v="110"/>
    <n v="11"/>
    <n v="29003"/>
    <n v="10"/>
    <n v="4916666.6666666605"/>
    <n v="13"/>
    <m/>
    <m/>
    <n v="2231"/>
    <m/>
    <n v="2900.3"/>
  </r>
  <r>
    <x v="0"/>
    <x v="0"/>
    <x v="0"/>
    <x v="0"/>
    <s v="Travel"/>
    <x v="1"/>
    <n v="110"/>
    <n v="2"/>
    <n v="4680.0000000000009"/>
    <n v="12"/>
    <n v="4916666.6666666605"/>
    <n v="15.600000000000001"/>
    <m/>
    <m/>
    <n v="100"/>
    <n v="3"/>
    <n v="390.00000000000006"/>
  </r>
  <r>
    <x v="0"/>
    <x v="0"/>
    <x v="0"/>
    <x v="1"/>
    <s v="Travel"/>
    <x v="1"/>
    <n v="110"/>
    <n v="2"/>
    <n v="5132.3999999999996"/>
    <n v="14"/>
    <n v="4916666.6666666605"/>
    <n v="18.2"/>
    <m/>
    <m/>
    <n v="94"/>
    <n v="3"/>
    <n v="366.59999999999997"/>
  </r>
  <r>
    <x v="0"/>
    <x v="0"/>
    <x v="0"/>
    <x v="2"/>
    <s v="Travel"/>
    <x v="1"/>
    <n v="110"/>
    <n v="11"/>
    <n v="3510"/>
    <n v="10"/>
    <n v="4916666.6666666605"/>
    <n v="13"/>
    <m/>
    <m/>
    <n v="90"/>
    <n v="3"/>
    <n v="351"/>
  </r>
  <r>
    <x v="0"/>
    <x v="0"/>
    <x v="0"/>
    <x v="0"/>
    <s v="Travel"/>
    <x v="2"/>
    <n v="110"/>
    <n v="2"/>
    <n v="3463.2000000000003"/>
    <n v="12"/>
    <n v="4916666.6666666605"/>
    <n v="15.600000000000001"/>
    <m/>
    <m/>
    <n v="74"/>
    <n v="3"/>
    <n v="288.60000000000002"/>
  </r>
  <r>
    <x v="0"/>
    <x v="0"/>
    <x v="0"/>
    <x v="1"/>
    <s v="Travel"/>
    <x v="2"/>
    <n v="110"/>
    <n v="2"/>
    <n v="3494.3999999999996"/>
    <n v="14"/>
    <n v="4916666.6666666605"/>
    <n v="18.2"/>
    <m/>
    <m/>
    <n v="64"/>
    <n v="3"/>
    <n v="249.59999999999997"/>
  </r>
  <r>
    <x v="0"/>
    <x v="0"/>
    <x v="0"/>
    <x v="2"/>
    <s v="Travel"/>
    <x v="2"/>
    <n v="110"/>
    <n v="11"/>
    <n v="3042"/>
    <n v="10"/>
    <n v="4916666.6666666605"/>
    <n v="13"/>
    <m/>
    <m/>
    <n v="78"/>
    <n v="3"/>
    <n v="304.2"/>
  </r>
  <r>
    <x v="0"/>
    <x v="0"/>
    <x v="1"/>
    <x v="0"/>
    <s v="Travel"/>
    <x v="0"/>
    <n v="78"/>
    <n v="4"/>
    <n v="51296.700000000004"/>
    <n v="21"/>
    <n v="4916666.6666666605"/>
    <n v="27.3"/>
    <m/>
    <m/>
    <n v="1879"/>
    <m/>
    <n v="2442.7000000000003"/>
  </r>
  <r>
    <x v="0"/>
    <x v="0"/>
    <x v="1"/>
    <x v="1"/>
    <s v="Travel"/>
    <x v="0"/>
    <n v="78"/>
    <n v="4"/>
    <n v="41249"/>
    <n v="19"/>
    <n v="4916666.6666666605"/>
    <n v="24.7"/>
    <m/>
    <m/>
    <n v="1670"/>
    <m/>
    <n v="2171"/>
  </r>
  <r>
    <x v="0"/>
    <x v="0"/>
    <x v="1"/>
    <x v="2"/>
    <s v="Travel"/>
    <x v="0"/>
    <n v="78"/>
    <n v="12"/>
    <n v="86361.600000000006"/>
    <n v="24"/>
    <n v="4916666.6666666605"/>
    <n v="31.200000000000003"/>
    <m/>
    <m/>
    <n v="2768"/>
    <m/>
    <n v="3598.4"/>
  </r>
  <r>
    <x v="0"/>
    <x v="0"/>
    <x v="1"/>
    <x v="0"/>
    <s v="Travel"/>
    <x v="1"/>
    <n v="78"/>
    <n v="4"/>
    <n v="6879.6"/>
    <n v="21"/>
    <n v="4916666.6666666605"/>
    <n v="27.3"/>
    <m/>
    <m/>
    <n v="84"/>
    <n v="3"/>
    <n v="327.60000000000002"/>
  </r>
  <r>
    <x v="0"/>
    <x v="0"/>
    <x v="1"/>
    <x v="1"/>
    <s v="Travel"/>
    <x v="1"/>
    <n v="78"/>
    <n v="4"/>
    <n v="5779.7999999999993"/>
    <n v="19"/>
    <n v="4916666.6666666605"/>
    <n v="24.7"/>
    <m/>
    <m/>
    <n v="78"/>
    <n v="3"/>
    <n v="304.2"/>
  </r>
  <r>
    <x v="0"/>
    <x v="0"/>
    <x v="1"/>
    <x v="2"/>
    <s v="Travel"/>
    <x v="1"/>
    <n v="78"/>
    <n v="12"/>
    <n v="6739.2000000000007"/>
    <n v="24"/>
    <n v="4916666.6666666605"/>
    <n v="31.200000000000003"/>
    <m/>
    <m/>
    <n v="72"/>
    <n v="3"/>
    <n v="280.8"/>
  </r>
  <r>
    <x v="0"/>
    <x v="0"/>
    <x v="1"/>
    <x v="0"/>
    <s v="Travel"/>
    <x v="2"/>
    <n v="78"/>
    <n v="4"/>
    <n v="5896.8"/>
    <n v="21"/>
    <n v="4916666.6666666605"/>
    <n v="27.3"/>
    <m/>
    <m/>
    <n v="72"/>
    <n v="3"/>
    <n v="280.8"/>
  </r>
  <r>
    <x v="0"/>
    <x v="0"/>
    <x v="1"/>
    <x v="1"/>
    <s v="Travel"/>
    <x v="2"/>
    <n v="78"/>
    <n v="4"/>
    <n v="4446"/>
    <n v="19"/>
    <n v="4916666.6666666605"/>
    <n v="24.7"/>
    <m/>
    <m/>
    <n v="60"/>
    <n v="3"/>
    <n v="234"/>
  </r>
  <r>
    <x v="0"/>
    <x v="0"/>
    <x v="1"/>
    <x v="2"/>
    <s v="Travel"/>
    <x v="2"/>
    <n v="78"/>
    <n v="12"/>
    <n v="5990.4000000000005"/>
    <n v="24"/>
    <n v="4916666.6666666605"/>
    <n v="31.200000000000003"/>
    <m/>
    <m/>
    <n v="64"/>
    <n v="3"/>
    <n v="249.60000000000002"/>
  </r>
  <r>
    <x v="0"/>
    <x v="1"/>
    <x v="2"/>
    <x v="0"/>
    <s v="Travel"/>
    <x v="0"/>
    <n v="38"/>
    <n v="6"/>
    <n v="24675.300000000003"/>
    <n v="9"/>
    <n v="5500000"/>
    <n v="11.700000000000001"/>
    <m/>
    <m/>
    <n v="2109"/>
    <m/>
    <n v="2741.7000000000003"/>
  </r>
  <r>
    <x v="0"/>
    <x v="1"/>
    <x v="2"/>
    <x v="1"/>
    <s v="Travel"/>
    <x v="0"/>
    <n v="38"/>
    <n v="6"/>
    <n v="21739.899999999998"/>
    <n v="7"/>
    <n v="5500000"/>
    <n v="9.1"/>
    <m/>
    <m/>
    <n v="2389"/>
    <m/>
    <n v="3105.7"/>
  </r>
  <r>
    <x v="0"/>
    <x v="1"/>
    <x v="2"/>
    <x v="2"/>
    <s v="Travel"/>
    <x v="0"/>
    <n v="38"/>
    <n v="11"/>
    <n v="20997.600000000002"/>
    <n v="8"/>
    <n v="5500000"/>
    <n v="10.4"/>
    <m/>
    <m/>
    <n v="2019"/>
    <m/>
    <n v="2624.7000000000003"/>
  </r>
  <r>
    <x v="0"/>
    <x v="1"/>
    <x v="2"/>
    <x v="0"/>
    <s v="Travel"/>
    <x v="1"/>
    <n v="38"/>
    <n v="6"/>
    <n v="2316.6000000000004"/>
    <n v="9"/>
    <n v="5500000"/>
    <n v="11.700000000000001"/>
    <m/>
    <m/>
    <n v="66"/>
    <n v="3"/>
    <n v="257.40000000000003"/>
  </r>
  <r>
    <x v="0"/>
    <x v="1"/>
    <x v="2"/>
    <x v="1"/>
    <s v="Travel"/>
    <x v="1"/>
    <n v="38"/>
    <n v="6"/>
    <n v="2074.8000000000002"/>
    <n v="7"/>
    <n v="5500000"/>
    <n v="9.1"/>
    <m/>
    <m/>
    <n v="76"/>
    <n v="3"/>
    <n v="296.40000000000003"/>
  </r>
  <r>
    <x v="0"/>
    <x v="1"/>
    <x v="2"/>
    <x v="2"/>
    <s v="Travel"/>
    <x v="1"/>
    <n v="38"/>
    <n v="11"/>
    <n v="2308.8000000000002"/>
    <n v="8"/>
    <n v="5500000"/>
    <n v="10.4"/>
    <m/>
    <m/>
    <n v="74"/>
    <n v="3"/>
    <n v="288.60000000000002"/>
  </r>
  <r>
    <x v="0"/>
    <x v="1"/>
    <x v="2"/>
    <x v="0"/>
    <s v="Travel"/>
    <x v="2"/>
    <n v="38"/>
    <n v="6"/>
    <n v="1684.8000000000002"/>
    <n v="9"/>
    <n v="5500000"/>
    <n v="11.700000000000001"/>
    <m/>
    <m/>
    <n v="48"/>
    <n v="3"/>
    <n v="187.20000000000002"/>
  </r>
  <r>
    <x v="0"/>
    <x v="1"/>
    <x v="2"/>
    <x v="1"/>
    <s v="Travel"/>
    <x v="2"/>
    <n v="38"/>
    <n v="6"/>
    <n v="1747.1999999999998"/>
    <n v="7"/>
    <n v="5500000"/>
    <n v="9.1"/>
    <m/>
    <m/>
    <n v="64"/>
    <n v="3"/>
    <n v="249.59999999999997"/>
  </r>
  <r>
    <x v="0"/>
    <x v="1"/>
    <x v="2"/>
    <x v="2"/>
    <s v="Travel"/>
    <x v="2"/>
    <n v="38"/>
    <n v="11"/>
    <n v="1809.6000000000001"/>
    <n v="8"/>
    <n v="5500000"/>
    <n v="10.4"/>
    <m/>
    <m/>
    <n v="58"/>
    <n v="3"/>
    <n v="226.20000000000002"/>
  </r>
  <r>
    <x v="0"/>
    <x v="1"/>
    <x v="1"/>
    <x v="0"/>
    <s v="Travel"/>
    <x v="0"/>
    <n v="56"/>
    <n v="9"/>
    <n v="41083.9"/>
    <n v="11"/>
    <n v="5500000"/>
    <n v="14.3"/>
    <m/>
    <m/>
    <n v="2873"/>
    <m/>
    <n v="3734.9"/>
  </r>
  <r>
    <x v="0"/>
    <x v="1"/>
    <x v="1"/>
    <x v="1"/>
    <s v="Travel"/>
    <x v="0"/>
    <n v="56"/>
    <n v="1"/>
    <n v="37783.199999999997"/>
    <n v="14"/>
    <n v="5500000"/>
    <n v="18.2"/>
    <m/>
    <m/>
    <n v="2076"/>
    <m/>
    <n v="2698.7999999999997"/>
  </r>
  <r>
    <x v="0"/>
    <x v="1"/>
    <x v="1"/>
    <x v="2"/>
    <s v="Travel"/>
    <x v="0"/>
    <n v="56"/>
    <n v="9"/>
    <n v="26000"/>
    <n v="10"/>
    <n v="5500000"/>
    <n v="13"/>
    <m/>
    <m/>
    <n v="2000"/>
    <m/>
    <n v="2600"/>
  </r>
  <r>
    <x v="0"/>
    <x v="1"/>
    <x v="1"/>
    <x v="0"/>
    <s v="Travel"/>
    <x v="1"/>
    <n v="56"/>
    <n v="9"/>
    <n v="3346.2000000000003"/>
    <n v="11"/>
    <n v="5500000"/>
    <n v="14.3"/>
    <m/>
    <m/>
    <n v="78"/>
    <n v="3"/>
    <n v="304.20000000000005"/>
  </r>
  <r>
    <x v="0"/>
    <x v="1"/>
    <x v="1"/>
    <x v="1"/>
    <s v="Travel"/>
    <x v="1"/>
    <n v="56"/>
    <n v="1"/>
    <n v="4586.3999999999996"/>
    <n v="14"/>
    <n v="5500000"/>
    <n v="18.2"/>
    <m/>
    <m/>
    <n v="84"/>
    <n v="3"/>
    <n v="327.59999999999997"/>
  </r>
  <r>
    <x v="0"/>
    <x v="1"/>
    <x v="1"/>
    <x v="2"/>
    <s v="Travel"/>
    <x v="1"/>
    <n v="56"/>
    <n v="9"/>
    <n v="3081"/>
    <n v="10"/>
    <n v="5500000"/>
    <n v="13"/>
    <m/>
    <m/>
    <n v="79"/>
    <n v="3"/>
    <n v="308.10000000000002"/>
  </r>
  <r>
    <x v="0"/>
    <x v="1"/>
    <x v="1"/>
    <x v="0"/>
    <s v="Travel"/>
    <x v="2"/>
    <n v="56"/>
    <n v="9"/>
    <n v="2659.8"/>
    <n v="11"/>
    <n v="5500000"/>
    <n v="14.3"/>
    <m/>
    <m/>
    <n v="62"/>
    <n v="3"/>
    <n v="241.8"/>
  </r>
  <r>
    <x v="0"/>
    <x v="1"/>
    <x v="1"/>
    <x v="1"/>
    <s v="Travel"/>
    <x v="2"/>
    <n v="56"/>
    <n v="1"/>
    <n v="3166.7999999999997"/>
    <n v="14"/>
    <n v="5500000"/>
    <n v="18.2"/>
    <m/>
    <m/>
    <n v="58"/>
    <n v="3"/>
    <n v="226.2"/>
  </r>
  <r>
    <x v="0"/>
    <x v="1"/>
    <x v="1"/>
    <x v="2"/>
    <s v="Travel"/>
    <x v="2"/>
    <n v="56"/>
    <n v="9"/>
    <n v="2340"/>
    <n v="10"/>
    <n v="5500000"/>
    <n v="13"/>
    <m/>
    <m/>
    <n v="60"/>
    <n v="3"/>
    <n v="234"/>
  </r>
  <r>
    <x v="0"/>
    <x v="2"/>
    <x v="3"/>
    <x v="0"/>
    <s v="Travel"/>
    <x v="0"/>
    <n v="89"/>
    <n v="5"/>
    <n v="56828.200000000004"/>
    <n v="22"/>
    <n v="6500000"/>
    <n v="28.6"/>
    <m/>
    <m/>
    <n v="1987"/>
    <m/>
    <n v="2583.1000000000004"/>
  </r>
  <r>
    <x v="0"/>
    <x v="2"/>
    <x v="3"/>
    <x v="1"/>
    <s v="Travel"/>
    <x v="0"/>
    <n v="89"/>
    <n v="5"/>
    <n v="71555.899999999994"/>
    <n v="19"/>
    <n v="6500000"/>
    <n v="24.7"/>
    <m/>
    <m/>
    <n v="2897"/>
    <m/>
    <n v="3766.1"/>
  </r>
  <r>
    <x v="0"/>
    <x v="2"/>
    <x v="3"/>
    <x v="2"/>
    <s v="Travel"/>
    <x v="0"/>
    <n v="89"/>
    <n v="10"/>
    <n v="46436"/>
    <n v="20"/>
    <n v="6500000"/>
    <n v="26"/>
    <m/>
    <m/>
    <n v="1786"/>
    <m/>
    <n v="2321.8000000000002"/>
  </r>
  <r>
    <x v="0"/>
    <x v="2"/>
    <x v="3"/>
    <x v="0"/>
    <s v="Travel"/>
    <x v="1"/>
    <n v="89"/>
    <n v="5"/>
    <n v="7207.2000000000007"/>
    <n v="22"/>
    <n v="6500000"/>
    <n v="28.6"/>
    <m/>
    <m/>
    <n v="84"/>
    <n v="3"/>
    <n v="327.60000000000002"/>
  </r>
  <r>
    <x v="0"/>
    <x v="2"/>
    <x v="3"/>
    <x v="1"/>
    <s v="Travel"/>
    <x v="1"/>
    <n v="89"/>
    <n v="5"/>
    <n v="5928"/>
    <n v="19"/>
    <n v="6500000"/>
    <n v="24.7"/>
    <m/>
    <m/>
    <n v="80"/>
    <n v="3"/>
    <n v="312"/>
  </r>
  <r>
    <x v="0"/>
    <x v="2"/>
    <x v="3"/>
    <x v="2"/>
    <s v="Travel"/>
    <x v="1"/>
    <n v="89"/>
    <n v="10"/>
    <n v="5460"/>
    <n v="20"/>
    <n v="6500000"/>
    <n v="26"/>
    <m/>
    <m/>
    <n v="70"/>
    <n v="3"/>
    <n v="273"/>
  </r>
  <r>
    <x v="0"/>
    <x v="2"/>
    <x v="3"/>
    <x v="0"/>
    <s v="Travel"/>
    <x v="2"/>
    <n v="89"/>
    <n v="5"/>
    <n v="4976.4000000000005"/>
    <n v="22"/>
    <n v="6500000"/>
    <n v="28.6"/>
    <m/>
    <m/>
    <n v="58"/>
    <n v="3"/>
    <n v="226.20000000000002"/>
  </r>
  <r>
    <x v="0"/>
    <x v="2"/>
    <x v="3"/>
    <x v="1"/>
    <s v="Travel"/>
    <x v="2"/>
    <n v="89"/>
    <n v="5"/>
    <n v="4742.3999999999996"/>
    <n v="19"/>
    <n v="6500000"/>
    <n v="24.7"/>
    <m/>
    <m/>
    <n v="64"/>
    <n v="3"/>
    <n v="249.6"/>
  </r>
  <r>
    <x v="0"/>
    <x v="2"/>
    <x v="3"/>
    <x v="2"/>
    <s v="Travel"/>
    <x v="2"/>
    <n v="89"/>
    <n v="10"/>
    <n v="2184"/>
    <n v="20"/>
    <n v="6500000"/>
    <n v="26"/>
    <m/>
    <m/>
    <n v="28"/>
    <n v="3"/>
    <n v="109.2"/>
  </r>
  <r>
    <x v="0"/>
    <x v="2"/>
    <x v="0"/>
    <x v="0"/>
    <s v="Travel"/>
    <x v="0"/>
    <n v="49"/>
    <n v="12"/>
    <n v="43644.9"/>
    <n v="19"/>
    <n v="6500000"/>
    <n v="24.7"/>
    <m/>
    <m/>
    <n v="1767"/>
    <m/>
    <n v="2297.1"/>
  </r>
  <r>
    <x v="0"/>
    <x v="2"/>
    <x v="0"/>
    <x v="1"/>
    <s v="Travel"/>
    <x v="0"/>
    <n v="49"/>
    <n v="2"/>
    <n v="41329.599999999999"/>
    <n v="16"/>
    <n v="6500000"/>
    <n v="20.8"/>
    <m/>
    <m/>
    <n v="1987"/>
    <m/>
    <n v="2583.1"/>
  </r>
  <r>
    <x v="0"/>
    <x v="2"/>
    <x v="0"/>
    <x v="2"/>
    <s v="Travel"/>
    <x v="0"/>
    <n v="49"/>
    <n v="12"/>
    <n v="49647"/>
    <n v="19"/>
    <n v="6500000"/>
    <n v="24.7"/>
    <m/>
    <m/>
    <n v="2010"/>
    <m/>
    <n v="2613"/>
  </r>
  <r>
    <x v="0"/>
    <x v="2"/>
    <x v="0"/>
    <x v="0"/>
    <s v="Travel"/>
    <x v="1"/>
    <n v="49"/>
    <n v="2"/>
    <n v="5631.6"/>
    <n v="19"/>
    <n v="6500000"/>
    <n v="24.7"/>
    <m/>
    <m/>
    <n v="76"/>
    <n v="3"/>
    <n v="296.40000000000003"/>
  </r>
  <r>
    <x v="0"/>
    <x v="2"/>
    <x v="0"/>
    <x v="1"/>
    <s v="Travel"/>
    <x v="1"/>
    <n v="49"/>
    <n v="2"/>
    <n v="4430.3999999999996"/>
    <n v="16"/>
    <n v="6500000"/>
    <n v="20.8"/>
    <m/>
    <m/>
    <n v="71"/>
    <n v="3"/>
    <n v="276.89999999999998"/>
  </r>
  <r>
    <x v="0"/>
    <x v="2"/>
    <x v="0"/>
    <x v="2"/>
    <s v="Travel"/>
    <x v="1"/>
    <n v="49"/>
    <n v="12"/>
    <n v="4890.6000000000004"/>
    <n v="19"/>
    <n v="6500000"/>
    <n v="24.7"/>
    <m/>
    <m/>
    <n v="66"/>
    <n v="3"/>
    <n v="257.40000000000003"/>
  </r>
  <r>
    <x v="0"/>
    <x v="2"/>
    <x v="0"/>
    <x v="0"/>
    <s v="Travel"/>
    <x v="2"/>
    <n v="49"/>
    <n v="2"/>
    <n v="2519.3999999999996"/>
    <n v="19"/>
    <n v="6500000"/>
    <n v="24.7"/>
    <m/>
    <m/>
    <n v="34"/>
    <n v="3"/>
    <n v="132.6"/>
  </r>
  <r>
    <x v="0"/>
    <x v="2"/>
    <x v="0"/>
    <x v="1"/>
    <s v="Travel"/>
    <x v="2"/>
    <n v="49"/>
    <n v="2"/>
    <n v="3619.2000000000003"/>
    <n v="16"/>
    <n v="6500000"/>
    <n v="20.8"/>
    <m/>
    <m/>
    <n v="58"/>
    <n v="3"/>
    <n v="226.20000000000002"/>
  </r>
  <r>
    <x v="0"/>
    <x v="2"/>
    <x v="0"/>
    <x v="2"/>
    <s v="Travel"/>
    <x v="2"/>
    <n v="49"/>
    <n v="12"/>
    <n v="2223"/>
    <n v="19"/>
    <n v="6500000"/>
    <n v="24.7"/>
    <m/>
    <m/>
    <n v="30"/>
    <n v="3"/>
    <n v="117"/>
  </r>
  <r>
    <x v="0"/>
    <x v="3"/>
    <x v="3"/>
    <x v="0"/>
    <s v="Travel"/>
    <x v="0"/>
    <n v="88"/>
    <n v="7"/>
    <n v="33580.300000000003"/>
    <n v="13"/>
    <n v="3333333.3333333302"/>
    <n v="16.900000000000002"/>
    <m/>
    <m/>
    <n v="1987"/>
    <m/>
    <n v="2583.1000000000004"/>
  </r>
  <r>
    <x v="0"/>
    <x v="3"/>
    <x v="3"/>
    <x v="1"/>
    <s v="Travel"/>
    <x v="0"/>
    <n v="88"/>
    <n v="7"/>
    <n v="34947.9"/>
    <n v="9"/>
    <n v="3333333.3333333302"/>
    <n v="11.700000000000001"/>
    <m/>
    <m/>
    <n v="2987"/>
    <m/>
    <n v="3883.1000000000004"/>
  </r>
  <r>
    <x v="0"/>
    <x v="3"/>
    <x v="3"/>
    <x v="2"/>
    <s v="Travel"/>
    <x v="0"/>
    <n v="88"/>
    <n v="9"/>
    <n v="39234"/>
    <n v="15"/>
    <n v="3333333.3333333302"/>
    <n v="19.5"/>
    <m/>
    <m/>
    <n v="2012"/>
    <m/>
    <n v="2615.6"/>
  </r>
  <r>
    <x v="0"/>
    <x v="3"/>
    <x v="3"/>
    <x v="0"/>
    <s v="Travel"/>
    <x v="1"/>
    <n v="88"/>
    <n v="7"/>
    <n v="3042.0000000000005"/>
    <n v="13"/>
    <n v="3333333.3333333302"/>
    <n v="16.900000000000002"/>
    <m/>
    <m/>
    <n v="60"/>
    <n v="3"/>
    <n v="234.00000000000003"/>
  </r>
  <r>
    <x v="0"/>
    <x v="3"/>
    <x v="3"/>
    <x v="1"/>
    <s v="Travel"/>
    <x v="1"/>
    <n v="88"/>
    <n v="7"/>
    <n v="2421.9"/>
    <n v="9"/>
    <n v="3333333.3333333302"/>
    <n v="11.700000000000001"/>
    <m/>
    <m/>
    <n v="69"/>
    <n v="3"/>
    <n v="269.10000000000002"/>
  </r>
  <r>
    <x v="0"/>
    <x v="3"/>
    <x v="3"/>
    <x v="2"/>
    <s v="Travel"/>
    <x v="1"/>
    <n v="88"/>
    <n v="9"/>
    <n v="3393"/>
    <n v="15"/>
    <n v="3333333.3333333302"/>
    <n v="19.5"/>
    <m/>
    <m/>
    <n v="58"/>
    <n v="3"/>
    <n v="226.2"/>
  </r>
  <r>
    <x v="0"/>
    <x v="3"/>
    <x v="3"/>
    <x v="0"/>
    <s v="Travel"/>
    <x v="2"/>
    <n v="88"/>
    <n v="7"/>
    <n v="1926.6000000000001"/>
    <n v="13"/>
    <n v="3333333.3333333302"/>
    <n v="16.900000000000002"/>
    <m/>
    <m/>
    <n v="38"/>
    <n v="3"/>
    <n v="148.20000000000002"/>
  </r>
  <r>
    <x v="0"/>
    <x v="3"/>
    <x v="3"/>
    <x v="1"/>
    <s v="Travel"/>
    <x v="2"/>
    <n v="88"/>
    <n v="7"/>
    <n v="1544.4"/>
    <n v="9"/>
    <n v="3333333.3333333302"/>
    <n v="11.700000000000001"/>
    <m/>
    <m/>
    <n v="44"/>
    <n v="3"/>
    <n v="171.60000000000002"/>
  </r>
  <r>
    <x v="0"/>
    <x v="3"/>
    <x v="3"/>
    <x v="2"/>
    <s v="Travel"/>
    <x v="2"/>
    <n v="88"/>
    <n v="9"/>
    <n v="2223"/>
    <n v="15"/>
    <n v="3333333.3333333302"/>
    <n v="19.5"/>
    <m/>
    <m/>
    <n v="38"/>
    <n v="3"/>
    <n v="148.19999999999999"/>
  </r>
  <r>
    <x v="0"/>
    <x v="3"/>
    <x v="1"/>
    <x v="0"/>
    <s v="Travel"/>
    <x v="0"/>
    <n v="34"/>
    <n v="4"/>
    <n v="10332.4"/>
    <n v="4"/>
    <n v="3333333.3333333302"/>
    <n v="5.2"/>
    <m/>
    <m/>
    <n v="1987"/>
    <m/>
    <n v="2583.1"/>
  </r>
  <r>
    <x v="0"/>
    <x v="3"/>
    <x v="1"/>
    <x v="1"/>
    <s v="Travel"/>
    <x v="0"/>
    <n v="34"/>
    <n v="4"/>
    <n v="16252.599999999999"/>
    <n v="7"/>
    <n v="3333333.3333333302"/>
    <n v="9.1"/>
    <m/>
    <m/>
    <n v="1786"/>
    <m/>
    <n v="2321.7999999999997"/>
  </r>
  <r>
    <x v="0"/>
    <x v="3"/>
    <x v="1"/>
    <x v="2"/>
    <s v="Travel"/>
    <x v="0"/>
    <n v="34"/>
    <n v="12"/>
    <n v="9869.6"/>
    <n v="4"/>
    <n v="3333333.3333333302"/>
    <n v="5.2"/>
    <m/>
    <m/>
    <n v="1898"/>
    <m/>
    <n v="2467.4"/>
  </r>
  <r>
    <x v="0"/>
    <x v="3"/>
    <x v="1"/>
    <x v="0"/>
    <s v="Travel"/>
    <x v="1"/>
    <n v="34"/>
    <n v="4"/>
    <n v="1060.8000000000002"/>
    <n v="4"/>
    <n v="3333333.3333333302"/>
    <n v="5.2"/>
    <m/>
    <m/>
    <n v="68"/>
    <n v="3"/>
    <n v="265.20000000000005"/>
  </r>
  <r>
    <x v="0"/>
    <x v="3"/>
    <x v="1"/>
    <x v="1"/>
    <s v="Travel"/>
    <x v="1"/>
    <n v="34"/>
    <n v="4"/>
    <n v="1610.6999999999998"/>
    <n v="7"/>
    <n v="3333333.3333333302"/>
    <n v="9.1"/>
    <m/>
    <m/>
    <n v="59"/>
    <n v="3"/>
    <n v="230.09999999999997"/>
  </r>
  <r>
    <x v="0"/>
    <x v="3"/>
    <x v="1"/>
    <x v="2"/>
    <s v="Travel"/>
    <x v="1"/>
    <n v="34"/>
    <n v="12"/>
    <n v="936"/>
    <n v="4"/>
    <n v="3333333.3333333302"/>
    <n v="5.2"/>
    <m/>
    <m/>
    <n v="60"/>
    <n v="3"/>
    <n v="234"/>
  </r>
  <r>
    <x v="0"/>
    <x v="3"/>
    <x v="1"/>
    <x v="0"/>
    <s v="Travel"/>
    <x v="2"/>
    <n v="34"/>
    <n v="4"/>
    <n v="842.40000000000009"/>
    <n v="4"/>
    <n v="3333333.3333333302"/>
    <n v="5.2"/>
    <m/>
    <m/>
    <n v="54"/>
    <n v="3"/>
    <n v="210.60000000000002"/>
  </r>
  <r>
    <x v="0"/>
    <x v="3"/>
    <x v="1"/>
    <x v="1"/>
    <s v="Travel"/>
    <x v="2"/>
    <n v="34"/>
    <n v="4"/>
    <n v="1201.1999999999998"/>
    <n v="7"/>
    <n v="3333333.3333333302"/>
    <n v="9.1"/>
    <m/>
    <m/>
    <n v="44"/>
    <n v="3"/>
    <n v="171.59999999999997"/>
  </r>
  <r>
    <x v="0"/>
    <x v="3"/>
    <x v="1"/>
    <x v="2"/>
    <s v="Travel"/>
    <x v="2"/>
    <n v="34"/>
    <n v="12"/>
    <n v="904.80000000000007"/>
    <n v="4"/>
    <n v="3333333.3333333302"/>
    <n v="5.2"/>
    <m/>
    <m/>
    <n v="58"/>
    <n v="3"/>
    <n v="226.20000000000002"/>
  </r>
  <r>
    <x v="1"/>
    <x v="4"/>
    <x v="3"/>
    <x v="0"/>
    <s v="Travel"/>
    <x v="0"/>
    <n v="98"/>
    <n v="3"/>
    <n v="65208.000000000007"/>
    <n v="24"/>
    <n v="8750000"/>
    <n v="31.200000000000003"/>
    <m/>
    <m/>
    <n v="2090"/>
    <m/>
    <n v="2717.0000000000005"/>
  </r>
  <r>
    <x v="1"/>
    <x v="4"/>
    <x v="3"/>
    <x v="1"/>
    <s v="Travel"/>
    <x v="0"/>
    <n v="98"/>
    <n v="3"/>
    <n v="63177.4"/>
    <n v="22"/>
    <n v="8750000"/>
    <n v="28.6"/>
    <m/>
    <m/>
    <n v="2209"/>
    <m/>
    <n v="2871.7000000000003"/>
  </r>
  <r>
    <x v="1"/>
    <x v="4"/>
    <x v="3"/>
    <x v="2"/>
    <s v="Travel"/>
    <x v="0"/>
    <n v="98"/>
    <n v="11"/>
    <n v="51820.6"/>
    <n v="19"/>
    <n v="8750000"/>
    <n v="24.7"/>
    <m/>
    <m/>
    <n v="2098"/>
    <m/>
    <n v="2727.4"/>
  </r>
  <r>
    <x v="1"/>
    <x v="4"/>
    <x v="3"/>
    <x v="0"/>
    <s v="Travel"/>
    <x v="1"/>
    <n v="98"/>
    <n v="3"/>
    <n v="20280"/>
    <n v="20"/>
    <n v="8750000"/>
    <n v="26"/>
    <m/>
    <m/>
    <n v="156"/>
    <n v="5"/>
    <n v="1014"/>
  </r>
  <r>
    <x v="1"/>
    <x v="4"/>
    <x v="3"/>
    <x v="1"/>
    <s v="Travel"/>
    <x v="1"/>
    <n v="98"/>
    <n v="3"/>
    <n v="41769.000000000007"/>
    <n v="34"/>
    <n v="8750000"/>
    <n v="44.2"/>
    <m/>
    <m/>
    <n v="189"/>
    <n v="5"/>
    <n v="1228.5000000000002"/>
  </r>
  <r>
    <x v="1"/>
    <x v="4"/>
    <x v="3"/>
    <x v="2"/>
    <s v="Travel"/>
    <x v="1"/>
    <n v="98"/>
    <n v="11"/>
    <n v="33150"/>
    <n v="30"/>
    <n v="8750000"/>
    <n v="39"/>
    <m/>
    <m/>
    <n v="170"/>
    <n v="5"/>
    <n v="1105"/>
  </r>
  <r>
    <x v="1"/>
    <x v="4"/>
    <x v="3"/>
    <x v="0"/>
    <s v="Travel"/>
    <x v="2"/>
    <n v="98"/>
    <n v="3"/>
    <n v="12064"/>
    <n v="29"/>
    <n v="8750000"/>
    <n v="37.700000000000003"/>
    <m/>
    <m/>
    <n v="64"/>
    <n v="5"/>
    <n v="416"/>
  </r>
  <r>
    <x v="1"/>
    <x v="4"/>
    <x v="3"/>
    <x v="1"/>
    <s v="Travel"/>
    <x v="2"/>
    <n v="98"/>
    <n v="3"/>
    <n v="12350"/>
    <n v="25"/>
    <n v="8750000"/>
    <n v="32.5"/>
    <m/>
    <m/>
    <n v="76"/>
    <n v="5"/>
    <n v="494"/>
  </r>
  <r>
    <x v="1"/>
    <x v="4"/>
    <x v="3"/>
    <x v="2"/>
    <s v="Travel"/>
    <x v="2"/>
    <n v="98"/>
    <n v="11"/>
    <n v="6421.9999999999991"/>
    <n v="19"/>
    <n v="8750000"/>
    <n v="24.7"/>
    <m/>
    <m/>
    <n v="52"/>
    <n v="5"/>
    <n v="337.99999999999994"/>
  </r>
  <r>
    <x v="1"/>
    <x v="4"/>
    <x v="1"/>
    <x v="0"/>
    <s v="Travel"/>
    <x v="0"/>
    <n v="34"/>
    <n v="6"/>
    <n v="57200"/>
    <n v="22"/>
    <n v="8750000"/>
    <n v="28.6"/>
    <m/>
    <m/>
    <n v="2000"/>
    <m/>
    <n v="2600"/>
  </r>
  <r>
    <x v="1"/>
    <x v="4"/>
    <x v="1"/>
    <x v="1"/>
    <s v="Travel"/>
    <x v="0"/>
    <n v="34"/>
    <n v="6"/>
    <n v="46930"/>
    <n v="19"/>
    <n v="8750000"/>
    <n v="24.7"/>
    <m/>
    <m/>
    <n v="1900"/>
    <m/>
    <n v="2470"/>
  </r>
  <r>
    <x v="1"/>
    <x v="4"/>
    <x v="1"/>
    <x v="2"/>
    <s v="Travel"/>
    <x v="0"/>
    <n v="34"/>
    <n v="9"/>
    <n v="93194.400000000009"/>
    <n v="24"/>
    <n v="8750000"/>
    <n v="31.200000000000003"/>
    <m/>
    <m/>
    <n v="2987"/>
    <m/>
    <n v="3883.1000000000004"/>
  </r>
  <r>
    <x v="1"/>
    <x v="4"/>
    <x v="1"/>
    <x v="0"/>
    <s v="Travel"/>
    <x v="1"/>
    <n v="34"/>
    <n v="6"/>
    <n v="23140"/>
    <n v="20"/>
    <n v="8750000"/>
    <n v="26"/>
    <m/>
    <m/>
    <n v="178"/>
    <n v="5"/>
    <n v="1157"/>
  </r>
  <r>
    <x v="1"/>
    <x v="4"/>
    <x v="1"/>
    <x v="1"/>
    <s v="Travel"/>
    <x v="1"/>
    <n v="34"/>
    <n v="6"/>
    <n v="25740"/>
    <n v="22"/>
    <n v="8750000"/>
    <n v="28.6"/>
    <m/>
    <m/>
    <n v="180"/>
    <n v="5"/>
    <n v="1170"/>
  </r>
  <r>
    <x v="1"/>
    <x v="4"/>
    <x v="1"/>
    <x v="2"/>
    <s v="Travel"/>
    <x v="1"/>
    <n v="34"/>
    <n v="9"/>
    <n v="26000"/>
    <n v="20"/>
    <n v="8750000"/>
    <n v="26"/>
    <m/>
    <m/>
    <n v="200"/>
    <n v="5"/>
    <n v="1300"/>
  </r>
  <r>
    <x v="1"/>
    <x v="4"/>
    <x v="1"/>
    <x v="0"/>
    <s v="Travel"/>
    <x v="2"/>
    <n v="34"/>
    <n v="6"/>
    <n v="9269"/>
    <n v="23"/>
    <n v="8750000"/>
    <n v="29.900000000000002"/>
    <m/>
    <m/>
    <n v="62"/>
    <n v="5"/>
    <n v="403"/>
  </r>
  <r>
    <x v="1"/>
    <x v="4"/>
    <x v="1"/>
    <x v="1"/>
    <s v="Travel"/>
    <x v="2"/>
    <n v="34"/>
    <n v="6"/>
    <n v="7540"/>
    <n v="20"/>
    <n v="8750000"/>
    <n v="26"/>
    <m/>
    <m/>
    <n v="58"/>
    <n v="5"/>
    <n v="377"/>
  </r>
  <r>
    <x v="1"/>
    <x v="4"/>
    <x v="1"/>
    <x v="2"/>
    <s v="Travel"/>
    <x v="2"/>
    <n v="34"/>
    <n v="9"/>
    <n v="8190"/>
    <n v="21"/>
    <n v="8750000"/>
    <n v="27.3"/>
    <m/>
    <m/>
    <n v="60"/>
    <n v="5"/>
    <n v="390"/>
  </r>
  <r>
    <x v="2"/>
    <x v="5"/>
    <x v="2"/>
    <x v="1"/>
    <s v="Travel"/>
    <x v="0"/>
    <n v="215"/>
    <n v="3"/>
    <n v="15210.000000000002"/>
    <n v="13"/>
    <n v="4250000"/>
    <n v="16.900000000000002"/>
    <m/>
    <m/>
    <n v="900"/>
    <m/>
    <n v="1170.0000000000002"/>
  </r>
  <r>
    <x v="2"/>
    <x v="5"/>
    <x v="2"/>
    <x v="2"/>
    <s v="Travel"/>
    <x v="0"/>
    <n v="215"/>
    <n v="10"/>
    <n v="26970"/>
    <n v="20"/>
    <n v="4250000"/>
    <n v="31"/>
    <m/>
    <m/>
    <n v="870"/>
    <m/>
    <n v="1348.5"/>
  </r>
  <r>
    <x v="2"/>
    <x v="5"/>
    <x v="2"/>
    <x v="0"/>
    <s v="Travel"/>
    <x v="1"/>
    <n v="215"/>
    <n v="3"/>
    <n v="14490"/>
    <n v="18"/>
    <n v="4250000"/>
    <n v="21"/>
    <m/>
    <m/>
    <n v="230"/>
    <n v="3"/>
    <n v="805"/>
  </r>
  <r>
    <x v="2"/>
    <x v="5"/>
    <x v="2"/>
    <x v="1"/>
    <s v="Travel"/>
    <x v="1"/>
    <n v="215"/>
    <n v="3"/>
    <n v="9600"/>
    <n v="13"/>
    <n v="4250000"/>
    <n v="16"/>
    <m/>
    <m/>
    <n v="200"/>
    <n v="3"/>
    <n v="738.46153846153845"/>
  </r>
  <r>
    <x v="2"/>
    <x v="5"/>
    <x v="2"/>
    <x v="2"/>
    <s v="Travel"/>
    <x v="1"/>
    <n v="215"/>
    <n v="10"/>
    <n v="26970"/>
    <n v="21"/>
    <n v="4250000"/>
    <n v="31"/>
    <m/>
    <m/>
    <n v="290"/>
    <n v="3"/>
    <n v="1284.2857142857142"/>
  </r>
  <r>
    <x v="2"/>
    <x v="5"/>
    <x v="2"/>
    <x v="0"/>
    <s v="Travel"/>
    <x v="2"/>
    <n v="215"/>
    <n v="3"/>
    <n v="2246.4"/>
    <n v="18"/>
    <n v="4250000"/>
    <n v="23.400000000000002"/>
    <m/>
    <m/>
    <n v="32"/>
    <n v="3"/>
    <n v="124.80000000000001"/>
  </r>
  <r>
    <x v="2"/>
    <x v="5"/>
    <x v="2"/>
    <x v="1"/>
    <s v="Travel"/>
    <x v="2"/>
    <n v="215"/>
    <n v="3"/>
    <n v="2129.4"/>
    <n v="13"/>
    <n v="4250000"/>
    <n v="16.900000000000002"/>
    <m/>
    <m/>
    <n v="42"/>
    <n v="3"/>
    <n v="163.80000000000001"/>
  </r>
  <r>
    <x v="2"/>
    <x v="5"/>
    <x v="2"/>
    <x v="2"/>
    <s v="Travel"/>
    <x v="2"/>
    <n v="215"/>
    <n v="10"/>
    <n v="5148"/>
    <n v="20"/>
    <n v="4250000"/>
    <n v="26"/>
    <m/>
    <m/>
    <n v="66"/>
    <n v="3"/>
    <n v="257.39999999999998"/>
  </r>
  <r>
    <x v="2"/>
    <x v="5"/>
    <x v="1"/>
    <x v="0"/>
    <s v="Travel"/>
    <x v="0"/>
    <n v="380"/>
    <n v="2"/>
    <n v="69300"/>
    <n v="54"/>
    <n v="4250000"/>
    <n v="77"/>
    <m/>
    <m/>
    <n v="900"/>
    <m/>
    <n v="1283.3333333333333"/>
  </r>
  <r>
    <x v="2"/>
    <x v="5"/>
    <x v="1"/>
    <x v="1"/>
    <s v="Travel"/>
    <x v="0"/>
    <n v="380"/>
    <n v="1"/>
    <n v="45762"/>
    <n v="38"/>
    <n v="4250000"/>
    <n v="58"/>
    <m/>
    <m/>
    <n v="789"/>
    <m/>
    <n v="1204.2631578947369"/>
  </r>
  <r>
    <x v="2"/>
    <x v="5"/>
    <x v="1"/>
    <x v="2"/>
    <s v="Travel"/>
    <x v="0"/>
    <n v="380"/>
    <n v="12"/>
    <n v="69146"/>
    <n v="52"/>
    <n v="4250000"/>
    <n v="77"/>
    <m/>
    <m/>
    <n v="898"/>
    <m/>
    <n v="1329.7307692307693"/>
  </r>
  <r>
    <x v="2"/>
    <x v="5"/>
    <x v="1"/>
    <x v="0"/>
    <s v="Travel"/>
    <x v="1"/>
    <n v="380"/>
    <n v="1"/>
    <n v="98560"/>
    <n v="38"/>
    <n v="4250000"/>
    <n v="77"/>
    <m/>
    <m/>
    <n v="320"/>
    <n v="4"/>
    <n v="2593.6842105263158"/>
  </r>
  <r>
    <x v="2"/>
    <x v="5"/>
    <x v="1"/>
    <x v="1"/>
    <s v="Travel"/>
    <x v="1"/>
    <n v="380"/>
    <n v="1"/>
    <n v="48488"/>
    <n v="38"/>
    <n v="4250000"/>
    <n v="58"/>
    <m/>
    <m/>
    <n v="209"/>
    <n v="4"/>
    <n v="1276"/>
  </r>
  <r>
    <x v="2"/>
    <x v="5"/>
    <x v="1"/>
    <x v="2"/>
    <s v="Travel"/>
    <x v="1"/>
    <n v="380"/>
    <n v="11"/>
    <n v="89320"/>
    <n v="55"/>
    <n v="4250000"/>
    <n v="77"/>
    <m/>
    <m/>
    <n v="290"/>
    <n v="4"/>
    <n v="1624"/>
  </r>
  <r>
    <x v="2"/>
    <x v="5"/>
    <x v="1"/>
    <x v="0"/>
    <s v="Travel"/>
    <x v="2"/>
    <n v="380"/>
    <n v="1"/>
    <n v="9724"/>
    <n v="55"/>
    <n v="4250000"/>
    <n v="71.5"/>
    <m/>
    <m/>
    <n v="34"/>
    <n v="4"/>
    <n v="176.8"/>
  </r>
  <r>
    <x v="2"/>
    <x v="5"/>
    <x v="1"/>
    <x v="1"/>
    <s v="Travel"/>
    <x v="2"/>
    <n v="380"/>
    <n v="1"/>
    <n v="11460.8"/>
    <n v="38"/>
    <n v="4250000"/>
    <n v="49.4"/>
    <m/>
    <m/>
    <n v="58"/>
    <n v="4"/>
    <n v="301.59999999999997"/>
  </r>
  <r>
    <x v="2"/>
    <x v="5"/>
    <x v="1"/>
    <x v="2"/>
    <s v="Travel"/>
    <x v="2"/>
    <n v="380"/>
    <n v="11"/>
    <n v="8580"/>
    <n v="55"/>
    <n v="4250000"/>
    <n v="71.5"/>
    <m/>
    <m/>
    <n v="30"/>
    <n v="4"/>
    <n v="156"/>
  </r>
  <r>
    <x v="2"/>
    <x v="6"/>
    <x v="2"/>
    <x v="0"/>
    <s v="Travel"/>
    <x v="0"/>
    <n v="43"/>
    <n v="6"/>
    <n v="21600"/>
    <n v="16"/>
    <n v="2333333.3333333302"/>
    <n v="18"/>
    <m/>
    <m/>
    <n v="1200"/>
    <m/>
    <n v="1350"/>
  </r>
  <r>
    <x v="2"/>
    <x v="6"/>
    <x v="2"/>
    <x v="1"/>
    <s v="Travel"/>
    <x v="0"/>
    <n v="43"/>
    <n v="6"/>
    <n v="27080"/>
    <n v="13"/>
    <n v="2333333.3333333302"/>
    <n v="20"/>
    <m/>
    <m/>
    <n v="1354"/>
    <m/>
    <n v="2083.0769230769229"/>
  </r>
  <r>
    <x v="2"/>
    <x v="6"/>
    <x v="2"/>
    <x v="2"/>
    <s v="Travel"/>
    <x v="0"/>
    <n v="43"/>
    <n v="11"/>
    <n v="22838"/>
    <n v="16"/>
    <n v="2333333.3333333302"/>
    <n v="19"/>
    <m/>
    <m/>
    <n v="1202"/>
    <m/>
    <n v="1427.375"/>
  </r>
  <r>
    <x v="2"/>
    <x v="6"/>
    <x v="2"/>
    <x v="0"/>
    <s v="Travel"/>
    <x v="1"/>
    <n v="43"/>
    <n v="6"/>
    <n v="22320"/>
    <n v="16"/>
    <n v="2333333.3333333302"/>
    <n v="18"/>
    <m/>
    <m/>
    <n v="310"/>
    <n v="4"/>
    <n v="1395"/>
  </r>
  <r>
    <x v="2"/>
    <x v="6"/>
    <x v="2"/>
    <x v="1"/>
    <s v="Travel"/>
    <x v="1"/>
    <n v="43"/>
    <n v="6"/>
    <n v="23200"/>
    <n v="13"/>
    <n v="2333333.3333333302"/>
    <n v="20"/>
    <m/>
    <m/>
    <n v="290"/>
    <n v="4"/>
    <n v="1784.6153846153845"/>
  </r>
  <r>
    <x v="2"/>
    <x v="6"/>
    <x v="2"/>
    <x v="2"/>
    <s v="Travel"/>
    <x v="1"/>
    <n v="43"/>
    <n v="11"/>
    <n v="24320"/>
    <n v="16"/>
    <n v="2333333.3333333302"/>
    <n v="19"/>
    <m/>
    <m/>
    <n v="320"/>
    <n v="4"/>
    <n v="1520"/>
  </r>
  <r>
    <x v="2"/>
    <x v="6"/>
    <x v="2"/>
    <x v="0"/>
    <s v="Travel"/>
    <x v="2"/>
    <n v="43"/>
    <n v="6"/>
    <n v="2995.2000000000003"/>
    <n v="16"/>
    <n v="2333333.3333333302"/>
    <n v="20.8"/>
    <m/>
    <m/>
    <n v="36"/>
    <n v="4"/>
    <n v="187.20000000000002"/>
  </r>
  <r>
    <x v="2"/>
    <x v="6"/>
    <x v="2"/>
    <x v="1"/>
    <s v="Travel"/>
    <x v="2"/>
    <n v="43"/>
    <n v="6"/>
    <n v="2568.8000000000002"/>
    <n v="13"/>
    <n v="2333333.3333333302"/>
    <n v="16.900000000000002"/>
    <m/>
    <m/>
    <n v="38"/>
    <n v="4"/>
    <n v="197.60000000000002"/>
  </r>
  <r>
    <x v="2"/>
    <x v="6"/>
    <x v="2"/>
    <x v="2"/>
    <s v="Travel"/>
    <x v="2"/>
    <n v="43"/>
    <n v="11"/>
    <n v="3328"/>
    <n v="16"/>
    <n v="2333333.3333333302"/>
    <n v="20.8"/>
    <m/>
    <m/>
    <n v="40"/>
    <n v="4"/>
    <n v="208"/>
  </r>
  <r>
    <x v="2"/>
    <x v="6"/>
    <x v="1"/>
    <x v="0"/>
    <s v="Travel"/>
    <x v="0"/>
    <n v="123"/>
    <n v="7"/>
    <n v="13500"/>
    <n v="71"/>
    <n v="2333333.3333333302"/>
    <n v="10"/>
    <m/>
    <m/>
    <n v="1350"/>
    <m/>
    <n v="190.14084507042253"/>
  </r>
  <r>
    <x v="2"/>
    <x v="6"/>
    <x v="1"/>
    <x v="1"/>
    <s v="Travel"/>
    <x v="0"/>
    <n v="123"/>
    <n v="7"/>
    <n v="13673"/>
    <n v="92"/>
    <n v="2333333.3333333302"/>
    <n v="11"/>
    <m/>
    <m/>
    <n v="1243"/>
    <m/>
    <n v="148.61956521739131"/>
  </r>
  <r>
    <x v="2"/>
    <x v="6"/>
    <x v="1"/>
    <x v="2"/>
    <s v="Travel"/>
    <x v="0"/>
    <n v="123"/>
    <n v="12"/>
    <n v="11456"/>
    <n v="64"/>
    <n v="2333333.3333333302"/>
    <n v="8"/>
    <m/>
    <m/>
    <n v="1432"/>
    <m/>
    <n v="179"/>
  </r>
  <r>
    <x v="2"/>
    <x v="6"/>
    <x v="1"/>
    <x v="0"/>
    <s v="Travel"/>
    <x v="1"/>
    <n v="123"/>
    <n v="7"/>
    <n v="5200"/>
    <n v="71"/>
    <n v="2333333.3333333302"/>
    <n v="10"/>
    <m/>
    <m/>
    <n v="130"/>
    <n v="4"/>
    <n v="73.239436619718305"/>
  </r>
  <r>
    <x v="2"/>
    <x v="6"/>
    <x v="1"/>
    <x v="1"/>
    <s v="Travel"/>
    <x v="1"/>
    <n v="123"/>
    <n v="7"/>
    <n v="5676"/>
    <n v="92"/>
    <n v="2333333.3333333302"/>
    <n v="11"/>
    <m/>
    <m/>
    <n v="129"/>
    <n v="4"/>
    <n v="61.695652173913047"/>
  </r>
  <r>
    <x v="2"/>
    <x v="6"/>
    <x v="1"/>
    <x v="2"/>
    <s v="Travel"/>
    <x v="1"/>
    <n v="123"/>
    <n v="12"/>
    <n v="4480"/>
    <n v="64"/>
    <n v="2333333.3333333302"/>
    <n v="8"/>
    <m/>
    <m/>
    <n v="140"/>
    <n v="4"/>
    <n v="70"/>
  </r>
  <r>
    <x v="2"/>
    <x v="6"/>
    <x v="1"/>
    <x v="0"/>
    <s v="Travel"/>
    <x v="2"/>
    <n v="123"/>
    <n v="7"/>
    <n v="1548"/>
    <n v="71"/>
    <n v="2333333.3333333302"/>
    <n v="9"/>
    <m/>
    <m/>
    <n v="43"/>
    <n v="4"/>
    <n v="21.802816901408452"/>
  </r>
  <r>
    <x v="2"/>
    <x v="6"/>
    <x v="1"/>
    <x v="1"/>
    <s v="Travel"/>
    <x v="2"/>
    <n v="123"/>
    <n v="7"/>
    <n v="2304"/>
    <n v="92"/>
    <n v="2333333.3333333302"/>
    <n v="12"/>
    <m/>
    <m/>
    <n v="48"/>
    <n v="4"/>
    <n v="25.043478260869566"/>
  </r>
  <r>
    <x v="2"/>
    <x v="6"/>
    <x v="1"/>
    <x v="2"/>
    <s v="Travel"/>
    <x v="2"/>
    <n v="123"/>
    <n v="12"/>
    <n v="1024"/>
    <n v="64"/>
    <n v="2333333.3333333302"/>
    <n v="8"/>
    <m/>
    <m/>
    <n v="32"/>
    <n v="4"/>
    <n v="16"/>
  </r>
  <r>
    <x v="2"/>
    <x v="7"/>
    <x v="2"/>
    <x v="0"/>
    <s v="Travel"/>
    <x v="0"/>
    <n v="35"/>
    <n v="5"/>
    <n v="24752"/>
    <n v="12"/>
    <n v="3416666.66666666"/>
    <n v="17"/>
    <m/>
    <m/>
    <n v="1456"/>
    <m/>
    <n v="2062.6666666666665"/>
  </r>
  <r>
    <x v="2"/>
    <x v="7"/>
    <x v="2"/>
    <x v="1"/>
    <s v="Travel"/>
    <x v="0"/>
    <n v="35"/>
    <n v="5"/>
    <n v="17276"/>
    <n v="10"/>
    <n v="3416666.66666666"/>
    <n v="14"/>
    <m/>
    <m/>
    <n v="1234"/>
    <m/>
    <n v="1727.6"/>
  </r>
  <r>
    <x v="2"/>
    <x v="7"/>
    <x v="2"/>
    <x v="2"/>
    <s v="Travel"/>
    <x v="0"/>
    <n v="35"/>
    <n v="10"/>
    <n v="17430"/>
    <n v="13"/>
    <n v="3416666.66666666"/>
    <n v="14"/>
    <m/>
    <m/>
    <n v="1245"/>
    <m/>
    <n v="1340.7692307692307"/>
  </r>
  <r>
    <x v="2"/>
    <x v="7"/>
    <x v="2"/>
    <x v="0"/>
    <s v="Travel"/>
    <x v="1"/>
    <n v="35"/>
    <n v="5"/>
    <n v="16660"/>
    <n v="12"/>
    <n v="3416666.66666666"/>
    <n v="17"/>
    <m/>
    <m/>
    <n v="245"/>
    <n v="4"/>
    <n v="1388.3333333333333"/>
  </r>
  <r>
    <x v="2"/>
    <x v="7"/>
    <x v="2"/>
    <x v="1"/>
    <s v="Travel"/>
    <x v="1"/>
    <n v="35"/>
    <n v="5"/>
    <n v="12656"/>
    <n v="10"/>
    <n v="3416666.66666666"/>
    <n v="14"/>
    <m/>
    <m/>
    <n v="226"/>
    <n v="4"/>
    <n v="1265.5999999999999"/>
  </r>
  <r>
    <x v="2"/>
    <x v="7"/>
    <x v="2"/>
    <x v="2"/>
    <s v="Travel"/>
    <x v="1"/>
    <n v="35"/>
    <n v="10"/>
    <n v="12600"/>
    <n v="13"/>
    <n v="3416666.66666666"/>
    <n v="14"/>
    <m/>
    <m/>
    <n v="225"/>
    <n v="4"/>
    <n v="969.23076923076928"/>
  </r>
  <r>
    <x v="2"/>
    <x v="7"/>
    <x v="2"/>
    <x v="0"/>
    <s v="Travel"/>
    <x v="2"/>
    <n v="35"/>
    <n v="5"/>
    <n v="2121.6000000000004"/>
    <n v="12"/>
    <n v="3416666.66666666"/>
    <n v="15.600000000000001"/>
    <m/>
    <m/>
    <n v="34"/>
    <n v="4"/>
    <n v="176.80000000000004"/>
  </r>
  <r>
    <x v="2"/>
    <x v="7"/>
    <x v="2"/>
    <x v="1"/>
    <s v="Travel"/>
    <x v="2"/>
    <n v="35"/>
    <n v="5"/>
    <n v="2288"/>
    <n v="10"/>
    <n v="3416666.66666666"/>
    <n v="13"/>
    <m/>
    <m/>
    <n v="44"/>
    <n v="4"/>
    <n v="228.8"/>
  </r>
  <r>
    <x v="2"/>
    <x v="7"/>
    <x v="2"/>
    <x v="2"/>
    <s v="Travel"/>
    <x v="2"/>
    <n v="35"/>
    <n v="10"/>
    <n v="2366.0000000000005"/>
    <n v="13"/>
    <n v="3416666.66666666"/>
    <n v="16.900000000000002"/>
    <m/>
    <m/>
    <n v="35"/>
    <n v="4"/>
    <n v="182.00000000000003"/>
  </r>
  <r>
    <x v="2"/>
    <x v="7"/>
    <x v="1"/>
    <x v="0"/>
    <s v="Travel"/>
    <x v="0"/>
    <n v="329"/>
    <n v="2"/>
    <n v="53193"/>
    <n v="32"/>
    <n v="3416666.66666666"/>
    <n v="51"/>
    <m/>
    <m/>
    <n v="1043"/>
    <m/>
    <n v="1662.28125"/>
  </r>
  <r>
    <x v="2"/>
    <x v="7"/>
    <x v="1"/>
    <x v="1"/>
    <s v="Travel"/>
    <x v="0"/>
    <n v="329"/>
    <n v="2"/>
    <n v="34485"/>
    <n v="22"/>
    <n v="3416666.66666666"/>
    <n v="33"/>
    <m/>
    <m/>
    <n v="1045"/>
    <m/>
    <n v="1567.5"/>
  </r>
  <r>
    <x v="2"/>
    <x v="7"/>
    <x v="1"/>
    <x v="2"/>
    <s v="Travel"/>
    <x v="0"/>
    <n v="329"/>
    <n v="10"/>
    <n v="29568"/>
    <n v="25"/>
    <n v="3416666.66666666"/>
    <n v="28"/>
    <m/>
    <m/>
    <n v="1056"/>
    <m/>
    <n v="1182.72"/>
  </r>
  <r>
    <x v="2"/>
    <x v="7"/>
    <x v="1"/>
    <x v="0"/>
    <s v="Travel"/>
    <x v="1"/>
    <n v="329"/>
    <n v="2"/>
    <n v="29274"/>
    <n v="32"/>
    <n v="3416666.66666666"/>
    <n v="51"/>
    <m/>
    <m/>
    <n v="287"/>
    <n v="2"/>
    <n v="914.8125"/>
  </r>
  <r>
    <x v="2"/>
    <x v="7"/>
    <x v="1"/>
    <x v="1"/>
    <s v="Travel"/>
    <x v="1"/>
    <n v="329"/>
    <n v="2"/>
    <n v="18348"/>
    <n v="22"/>
    <n v="3416666.66666666"/>
    <n v="33"/>
    <m/>
    <m/>
    <n v="278"/>
    <n v="2"/>
    <n v="834"/>
  </r>
  <r>
    <x v="2"/>
    <x v="7"/>
    <x v="1"/>
    <x v="2"/>
    <s v="Travel"/>
    <x v="1"/>
    <n v="329"/>
    <n v="10"/>
    <n v="13720"/>
    <n v="25"/>
    <n v="3416666.66666666"/>
    <n v="28"/>
    <m/>
    <m/>
    <n v="245"/>
    <n v="2"/>
    <n v="548.79999999999995"/>
  </r>
  <r>
    <x v="2"/>
    <x v="7"/>
    <x v="1"/>
    <x v="0"/>
    <s v="Travel"/>
    <x v="2"/>
    <n v="329"/>
    <n v="2"/>
    <n v="3696"/>
    <n v="32"/>
    <n v="3416666.66666666"/>
    <n v="42"/>
    <m/>
    <m/>
    <n v="44"/>
    <n v="2"/>
    <n v="115.5"/>
  </r>
  <r>
    <x v="2"/>
    <x v="7"/>
    <x v="1"/>
    <x v="1"/>
    <s v="Travel"/>
    <x v="2"/>
    <n v="329"/>
    <n v="2"/>
    <n v="2059.2000000000003"/>
    <n v="22"/>
    <n v="3416666.66666666"/>
    <n v="28.6"/>
    <m/>
    <m/>
    <n v="36"/>
    <n v="2"/>
    <n v="93.600000000000009"/>
  </r>
  <r>
    <x v="2"/>
    <x v="7"/>
    <x v="1"/>
    <x v="2"/>
    <s v="Travel"/>
    <x v="2"/>
    <n v="329"/>
    <n v="10"/>
    <n v="3380"/>
    <n v="25"/>
    <n v="3416666.66666666"/>
    <n v="32.5"/>
    <m/>
    <m/>
    <n v="52"/>
    <n v="2"/>
    <n v="135.19999999999999"/>
  </r>
  <r>
    <x v="3"/>
    <x v="8"/>
    <x v="4"/>
    <x v="0"/>
    <s v="Travel"/>
    <x v="0"/>
    <n v="212"/>
    <n v="5"/>
    <n v="34242"/>
    <n v="15"/>
    <n v="8416666.6666666605"/>
    <n v="19.5"/>
    <m/>
    <m/>
    <n v="1756"/>
    <m/>
    <n v="2282.8000000000002"/>
  </r>
  <r>
    <x v="3"/>
    <x v="8"/>
    <x v="4"/>
    <x v="1"/>
    <s v="Travel"/>
    <x v="0"/>
    <n v="212"/>
    <n v="5"/>
    <n v="31959.199999999997"/>
    <n v="14"/>
    <n v="8416666.6666666605"/>
    <n v="18.2"/>
    <m/>
    <m/>
    <n v="1756"/>
    <m/>
    <n v="2282.7999999999997"/>
  </r>
  <r>
    <x v="3"/>
    <x v="8"/>
    <x v="4"/>
    <x v="2"/>
    <s v="Travel"/>
    <x v="0"/>
    <n v="212"/>
    <n v="9"/>
    <n v="30088.5"/>
    <n v="15"/>
    <n v="8416666.6666666605"/>
    <n v="19.5"/>
    <m/>
    <m/>
    <n v="1543"/>
    <m/>
    <n v="2005.9"/>
  </r>
  <r>
    <x v="3"/>
    <x v="8"/>
    <x v="4"/>
    <x v="0"/>
    <s v="Travel"/>
    <x v="1"/>
    <n v="212"/>
    <n v="5"/>
    <n v="16965"/>
    <n v="15"/>
    <n v="8416666.6666666605"/>
    <n v="19.5"/>
    <m/>
    <m/>
    <n v="290"/>
    <n v="3"/>
    <n v="1131"/>
  </r>
  <r>
    <x v="3"/>
    <x v="8"/>
    <x v="4"/>
    <x v="1"/>
    <s v="Travel"/>
    <x v="1"/>
    <n v="212"/>
    <n v="5"/>
    <n v="15670.199999999999"/>
    <n v="14"/>
    <n v="8416666.6666666605"/>
    <n v="18.2"/>
    <m/>
    <m/>
    <n v="287"/>
    <n v="3"/>
    <n v="1119.3"/>
  </r>
  <r>
    <x v="3"/>
    <x v="8"/>
    <x v="4"/>
    <x v="2"/>
    <s v="Travel"/>
    <x v="1"/>
    <n v="212"/>
    <n v="9"/>
    <n v="18135"/>
    <n v="15"/>
    <n v="8416666.6666666605"/>
    <n v="19.5"/>
    <m/>
    <m/>
    <n v="310"/>
    <n v="3"/>
    <n v="1209"/>
  </r>
  <r>
    <x v="3"/>
    <x v="8"/>
    <x v="4"/>
    <x v="0"/>
    <s v="Travel"/>
    <x v="2"/>
    <n v="212"/>
    <n v="5"/>
    <n v="3334.5"/>
    <n v="15"/>
    <n v="8416666.6666666605"/>
    <n v="19.5"/>
    <m/>
    <m/>
    <n v="57"/>
    <n v="3"/>
    <n v="222.3"/>
  </r>
  <r>
    <x v="3"/>
    <x v="8"/>
    <x v="4"/>
    <x v="1"/>
    <s v="Travel"/>
    <x v="2"/>
    <n v="212"/>
    <n v="5"/>
    <n v="2784.6"/>
    <n v="14"/>
    <n v="8416666.6666666605"/>
    <n v="18.2"/>
    <m/>
    <m/>
    <n v="51"/>
    <n v="3"/>
    <n v="198.9"/>
  </r>
  <r>
    <x v="3"/>
    <x v="8"/>
    <x v="4"/>
    <x v="2"/>
    <s v="Travel"/>
    <x v="2"/>
    <n v="212"/>
    <n v="9"/>
    <n v="3393"/>
    <n v="15"/>
    <n v="8416666.6666666605"/>
    <n v="19.5"/>
    <m/>
    <m/>
    <n v="58"/>
    <n v="3"/>
    <n v="226.2"/>
  </r>
  <r>
    <x v="3"/>
    <x v="8"/>
    <x v="0"/>
    <x v="0"/>
    <s v="Travel"/>
    <x v="0"/>
    <n v="34"/>
    <n v="5"/>
    <n v="16731"/>
    <n v="9"/>
    <n v="8416666.6666666605"/>
    <n v="11.700000000000001"/>
    <m/>
    <m/>
    <n v="1430"/>
    <m/>
    <n v="1859"/>
  </r>
  <r>
    <x v="3"/>
    <x v="8"/>
    <x v="0"/>
    <x v="1"/>
    <s v="Travel"/>
    <x v="0"/>
    <n v="34"/>
    <n v="7"/>
    <n v="36524.800000000003"/>
    <n v="16"/>
    <n v="8416666.6666666605"/>
    <n v="20.8"/>
    <m/>
    <m/>
    <n v="1756"/>
    <m/>
    <n v="2282.8000000000002"/>
  </r>
  <r>
    <x v="3"/>
    <x v="8"/>
    <x v="0"/>
    <x v="2"/>
    <s v="Travel"/>
    <x v="0"/>
    <n v="34"/>
    <n v="10"/>
    <n v="23595"/>
    <n v="11"/>
    <n v="8416666.6666666605"/>
    <n v="14.3"/>
    <m/>
    <m/>
    <n v="1650"/>
    <m/>
    <n v="2145"/>
  </r>
  <r>
    <x v="3"/>
    <x v="8"/>
    <x v="0"/>
    <x v="0"/>
    <s v="Travel"/>
    <x v="1"/>
    <n v="34"/>
    <n v="7"/>
    <n v="9652.5000000000018"/>
    <n v="9"/>
    <n v="8416666.6666666605"/>
    <n v="11.700000000000001"/>
    <m/>
    <m/>
    <n v="275"/>
    <n v="3"/>
    <n v="1072.5000000000002"/>
  </r>
  <r>
    <x v="3"/>
    <x v="8"/>
    <x v="0"/>
    <x v="1"/>
    <s v="Travel"/>
    <x v="1"/>
    <n v="34"/>
    <n v="7"/>
    <n v="17846.400000000001"/>
    <n v="16"/>
    <n v="8416666.6666666605"/>
    <n v="20.8"/>
    <m/>
    <m/>
    <n v="286"/>
    <n v="3"/>
    <n v="1115.4000000000001"/>
  </r>
  <r>
    <x v="3"/>
    <x v="8"/>
    <x v="0"/>
    <x v="2"/>
    <s v="Travel"/>
    <x v="1"/>
    <n v="34"/>
    <n v="10"/>
    <n v="10682.1"/>
    <n v="11"/>
    <n v="8416666.6666666605"/>
    <n v="14.3"/>
    <m/>
    <m/>
    <n v="249"/>
    <n v="3"/>
    <n v="971.1"/>
  </r>
  <r>
    <x v="3"/>
    <x v="8"/>
    <x v="0"/>
    <x v="0"/>
    <s v="Travel"/>
    <x v="2"/>
    <n v="34"/>
    <n v="7"/>
    <n v="2106.0000000000005"/>
    <n v="9"/>
    <n v="8416666.6666666605"/>
    <n v="11.700000000000001"/>
    <m/>
    <m/>
    <n v="60"/>
    <n v="3"/>
    <n v="234.00000000000006"/>
  </r>
  <r>
    <x v="3"/>
    <x v="8"/>
    <x v="0"/>
    <x v="1"/>
    <s v="Travel"/>
    <x v="2"/>
    <n v="34"/>
    <n v="7"/>
    <n v="2745.6000000000004"/>
    <n v="16"/>
    <n v="8416666.6666666605"/>
    <n v="20.8"/>
    <m/>
    <m/>
    <n v="44"/>
    <n v="3"/>
    <n v="171.60000000000002"/>
  </r>
  <r>
    <x v="3"/>
    <x v="8"/>
    <x v="0"/>
    <x v="2"/>
    <s v="Travel"/>
    <x v="2"/>
    <n v="34"/>
    <n v="10"/>
    <n v="2145"/>
    <n v="11"/>
    <n v="8416666.6666666605"/>
    <n v="14.3"/>
    <m/>
    <m/>
    <n v="50"/>
    <n v="3"/>
    <n v="195"/>
  </r>
  <r>
    <x v="3"/>
    <x v="8"/>
    <x v="5"/>
    <x v="0"/>
    <s v="Travel"/>
    <x v="0"/>
    <n v="63"/>
    <n v="3"/>
    <n v="150684.30000000002"/>
    <n v="53"/>
    <n v="8416666.6666666605"/>
    <n v="68.900000000000006"/>
    <m/>
    <m/>
    <n v="2187"/>
    <m/>
    <n v="2843.1000000000004"/>
  </r>
  <r>
    <x v="3"/>
    <x v="8"/>
    <x v="5"/>
    <x v="1"/>
    <s v="Travel"/>
    <x v="0"/>
    <n v="63"/>
    <n v="7"/>
    <n v="133625.70000000001"/>
    <n v="47"/>
    <n v="8416666.6666666605"/>
    <n v="61.1"/>
    <m/>
    <m/>
    <n v="2187"/>
    <m/>
    <n v="2843.1000000000004"/>
  </r>
  <r>
    <x v="3"/>
    <x v="8"/>
    <x v="5"/>
    <x v="2"/>
    <s v="Travel"/>
    <x v="0"/>
    <n v="63"/>
    <n v="11"/>
    <n v="103246"/>
    <n v="38"/>
    <n v="8416666.6666666605"/>
    <n v="49.4"/>
    <m/>
    <m/>
    <n v="2090"/>
    <m/>
    <n v="2717"/>
  </r>
  <r>
    <x v="3"/>
    <x v="8"/>
    <x v="5"/>
    <x v="0"/>
    <s v="Travel"/>
    <x v="1"/>
    <n v="63"/>
    <n v="7"/>
    <n v="34105.500000000007"/>
    <n v="53"/>
    <n v="8416666.6666666605"/>
    <n v="68.900000000000006"/>
    <m/>
    <m/>
    <n v="165"/>
    <n v="3"/>
    <n v="643.50000000000011"/>
  </r>
  <r>
    <x v="3"/>
    <x v="8"/>
    <x v="5"/>
    <x v="1"/>
    <s v="Travel"/>
    <x v="1"/>
    <n v="63"/>
    <n v="7"/>
    <n v="34643.699999999997"/>
    <n v="47"/>
    <n v="8416666.6666666605"/>
    <n v="61.1"/>
    <m/>
    <m/>
    <n v="189"/>
    <n v="3"/>
    <n v="737.09999999999991"/>
  </r>
  <r>
    <x v="3"/>
    <x v="8"/>
    <x v="5"/>
    <x v="2"/>
    <s v="Travel"/>
    <x v="1"/>
    <n v="63"/>
    <n v="11"/>
    <n v="29936.399999999998"/>
    <n v="38"/>
    <n v="8416666.6666666605"/>
    <n v="49.4"/>
    <m/>
    <m/>
    <n v="202"/>
    <n v="3"/>
    <n v="787.8"/>
  </r>
  <r>
    <x v="3"/>
    <x v="8"/>
    <x v="5"/>
    <x v="0"/>
    <s v="Travel"/>
    <x v="2"/>
    <n v="63"/>
    <n v="7"/>
    <n v="14262.300000000001"/>
    <n v="53"/>
    <n v="8416666.6666666605"/>
    <n v="68.900000000000006"/>
    <m/>
    <m/>
    <n v="69"/>
    <n v="3"/>
    <n v="269.10000000000002"/>
  </r>
  <r>
    <x v="3"/>
    <x v="8"/>
    <x v="5"/>
    <x v="1"/>
    <s v="Travel"/>
    <x v="2"/>
    <n v="63"/>
    <n v="7"/>
    <n v="16130.400000000001"/>
    <n v="47"/>
    <n v="8416666.6666666605"/>
    <n v="61.1"/>
    <m/>
    <m/>
    <n v="88"/>
    <n v="3"/>
    <n v="343.20000000000005"/>
  </r>
  <r>
    <x v="3"/>
    <x v="8"/>
    <x v="5"/>
    <x v="2"/>
    <s v="Travel"/>
    <x v="2"/>
    <n v="63"/>
    <n v="11"/>
    <n v="10077.599999999999"/>
    <n v="38"/>
    <n v="8416666.6666666605"/>
    <n v="49.4"/>
    <m/>
    <m/>
    <n v="68"/>
    <n v="3"/>
    <n v="265.2"/>
  </r>
  <r>
    <x v="3"/>
    <x v="8"/>
    <x v="6"/>
    <x v="0"/>
    <s v="Travel"/>
    <x v="0"/>
    <n v="98"/>
    <n v="1"/>
    <n v="873.59999999999991"/>
    <n v="14"/>
    <n v="8416666.6666666605"/>
    <n v="18.2"/>
    <m/>
    <m/>
    <n v="48"/>
    <m/>
    <n v="62.399999999999991"/>
  </r>
  <r>
    <x v="3"/>
    <x v="8"/>
    <x v="6"/>
    <x v="1"/>
    <s v="Travel"/>
    <x v="0"/>
    <n v="98"/>
    <n v="1"/>
    <n v="332.8"/>
    <n v="4"/>
    <n v="8416666.6666666605"/>
    <n v="5.2"/>
    <m/>
    <m/>
    <n v="64"/>
    <m/>
    <n v="83.2"/>
  </r>
  <r>
    <x v="3"/>
    <x v="8"/>
    <x v="6"/>
    <x v="2"/>
    <s v="Travel"/>
    <x v="0"/>
    <n v="98"/>
    <n v="12"/>
    <n v="631.80000000000007"/>
    <n v="9"/>
    <n v="8416666.6666666605"/>
    <n v="11.700000000000001"/>
    <m/>
    <m/>
    <n v="54"/>
    <m/>
    <n v="70.2"/>
  </r>
  <r>
    <x v="3"/>
    <x v="8"/>
    <x v="6"/>
    <x v="0"/>
    <s v="Travel"/>
    <x v="1"/>
    <n v="98"/>
    <n v="1"/>
    <n v="3494.3999999999996"/>
    <n v="14"/>
    <n v="8416666.6666666605"/>
    <n v="18.2"/>
    <m/>
    <m/>
    <n v="64"/>
    <n v="3"/>
    <n v="249.59999999999997"/>
  </r>
  <r>
    <x v="3"/>
    <x v="8"/>
    <x v="6"/>
    <x v="1"/>
    <s v="Travel"/>
    <x v="1"/>
    <n v="98"/>
    <n v="1"/>
    <n v="1185.5999999999999"/>
    <n v="4"/>
    <n v="8416666.6666666605"/>
    <n v="5.2"/>
    <m/>
    <m/>
    <n v="76"/>
    <n v="3"/>
    <n v="296.39999999999998"/>
  </r>
  <r>
    <x v="3"/>
    <x v="8"/>
    <x v="6"/>
    <x v="2"/>
    <s v="Travel"/>
    <x v="1"/>
    <n v="98"/>
    <n v="12"/>
    <n v="1825.2000000000003"/>
    <n v="9"/>
    <n v="8416666.6666666605"/>
    <n v="11.700000000000001"/>
    <m/>
    <m/>
    <n v="52"/>
    <n v="3"/>
    <n v="202.80000000000004"/>
  </r>
  <r>
    <x v="3"/>
    <x v="8"/>
    <x v="6"/>
    <x v="0"/>
    <s v="Travel"/>
    <x v="2"/>
    <n v="98"/>
    <n v="1"/>
    <n v="3494.3999999999996"/>
    <n v="14"/>
    <n v="8416666.6666666605"/>
    <n v="18.2"/>
    <m/>
    <m/>
    <n v="64"/>
    <n v="3"/>
    <n v="249.59999999999997"/>
  </r>
  <r>
    <x v="3"/>
    <x v="8"/>
    <x v="6"/>
    <x v="1"/>
    <s v="Travel"/>
    <x v="2"/>
    <n v="98"/>
    <n v="1"/>
    <n v="686.40000000000009"/>
    <n v="4"/>
    <n v="8416666.6666666605"/>
    <n v="5.2"/>
    <m/>
    <m/>
    <n v="44"/>
    <n v="3"/>
    <n v="171.60000000000002"/>
  </r>
  <r>
    <x v="3"/>
    <x v="8"/>
    <x v="6"/>
    <x v="2"/>
    <s v="Travel"/>
    <x v="2"/>
    <n v="98"/>
    <n v="12"/>
    <n v="2106.0000000000005"/>
    <n v="9"/>
    <n v="8416666.6666666605"/>
    <n v="11.700000000000001"/>
    <m/>
    <m/>
    <n v="60"/>
    <n v="3"/>
    <n v="234.00000000000006"/>
  </r>
  <r>
    <x v="3"/>
    <x v="9"/>
    <x v="2"/>
    <x v="0"/>
    <s v="Travel"/>
    <x v="0"/>
    <n v="44"/>
    <n v="4"/>
    <n v="13903.5"/>
    <n v="5"/>
    <n v="7416666.6666666605"/>
    <n v="6.5"/>
    <m/>
    <m/>
    <n v="2139"/>
    <m/>
    <n v="2780.7"/>
  </r>
  <r>
    <x v="3"/>
    <x v="9"/>
    <x v="2"/>
    <x v="1"/>
    <s v="Travel"/>
    <x v="0"/>
    <n v="44"/>
    <n v="4"/>
    <n v="82180.800000000003"/>
    <n v="36"/>
    <n v="7416666.6666666605"/>
    <n v="46.800000000000004"/>
    <m/>
    <m/>
    <n v="1756"/>
    <m/>
    <n v="2282.8000000000002"/>
  </r>
  <r>
    <x v="3"/>
    <x v="9"/>
    <x v="2"/>
    <x v="2"/>
    <s v="Travel"/>
    <x v="0"/>
    <n v="44"/>
    <n v="11"/>
    <n v="12870"/>
    <n v="5"/>
    <n v="7416666.6666666605"/>
    <n v="6.5"/>
    <m/>
    <m/>
    <n v="1980"/>
    <m/>
    <n v="2574"/>
  </r>
  <r>
    <x v="3"/>
    <x v="9"/>
    <x v="2"/>
    <x v="0"/>
    <s v="Travel"/>
    <x v="1"/>
    <n v="44"/>
    <n v="4"/>
    <n v="3217.5"/>
    <n v="5"/>
    <n v="7416666.6666666605"/>
    <n v="6.5"/>
    <m/>
    <m/>
    <n v="165"/>
    <n v="3"/>
    <n v="643.5"/>
  </r>
  <r>
    <x v="3"/>
    <x v="9"/>
    <x v="2"/>
    <x v="1"/>
    <s v="Travel"/>
    <x v="1"/>
    <n v="44"/>
    <n v="4"/>
    <n v="21762.000000000004"/>
    <n v="36"/>
    <n v="7416666.6666666605"/>
    <n v="46.800000000000004"/>
    <m/>
    <m/>
    <n v="155"/>
    <n v="3"/>
    <n v="604.50000000000011"/>
  </r>
  <r>
    <x v="3"/>
    <x v="9"/>
    <x v="2"/>
    <x v="2"/>
    <s v="Travel"/>
    <x v="1"/>
    <n v="44"/>
    <n v="11"/>
    <n v="3471"/>
    <n v="5"/>
    <n v="7416666.6666666605"/>
    <n v="6.5"/>
    <m/>
    <m/>
    <n v="178"/>
    <n v="3"/>
    <n v="694.2"/>
  </r>
  <r>
    <x v="3"/>
    <x v="9"/>
    <x v="2"/>
    <x v="0"/>
    <s v="Travel"/>
    <x v="2"/>
    <n v="44"/>
    <n v="4"/>
    <n v="1248"/>
    <n v="5"/>
    <n v="7416666.6666666605"/>
    <n v="6.5"/>
    <m/>
    <m/>
    <n v="64"/>
    <n v="3"/>
    <n v="249.6"/>
  </r>
  <r>
    <x v="3"/>
    <x v="9"/>
    <x v="2"/>
    <x v="1"/>
    <s v="Travel"/>
    <x v="2"/>
    <n v="44"/>
    <n v="4"/>
    <n v="10670.400000000001"/>
    <n v="36"/>
    <n v="7416666.6666666605"/>
    <n v="46.800000000000004"/>
    <m/>
    <m/>
    <n v="76"/>
    <n v="3"/>
    <n v="296.40000000000003"/>
  </r>
  <r>
    <x v="3"/>
    <x v="9"/>
    <x v="2"/>
    <x v="2"/>
    <s v="Travel"/>
    <x v="2"/>
    <n v="44"/>
    <n v="11"/>
    <n v="1014"/>
    <n v="5"/>
    <n v="7416666.6666666605"/>
    <n v="6.5"/>
    <m/>
    <m/>
    <n v="52"/>
    <n v="3"/>
    <n v="202.8"/>
  </r>
  <r>
    <x v="3"/>
    <x v="9"/>
    <x v="3"/>
    <x v="0"/>
    <s v="Travel"/>
    <x v="0"/>
    <n v="77"/>
    <n v="5"/>
    <n v="69743.7"/>
    <n v="27"/>
    <n v="7416666.6666666605"/>
    <n v="35.1"/>
    <m/>
    <m/>
    <n v="1987"/>
    <m/>
    <n v="2583.1"/>
  </r>
  <r>
    <x v="3"/>
    <x v="9"/>
    <x v="3"/>
    <x v="1"/>
    <s v="Travel"/>
    <x v="0"/>
    <n v="77"/>
    <n v="5"/>
    <n v="90550.200000000012"/>
    <n v="39"/>
    <n v="7416666.6666666605"/>
    <n v="50.7"/>
    <m/>
    <m/>
    <n v="1786"/>
    <m/>
    <n v="2321.8000000000002"/>
  </r>
  <r>
    <x v="3"/>
    <x v="9"/>
    <x v="3"/>
    <x v="2"/>
    <s v="Travel"/>
    <x v="0"/>
    <n v="77"/>
    <n v="9"/>
    <n v="2574"/>
    <n v="33"/>
    <n v="7416666.6666666605"/>
    <n v="42.9"/>
    <m/>
    <m/>
    <n v="60"/>
    <m/>
    <n v="78"/>
  </r>
  <r>
    <x v="3"/>
    <x v="9"/>
    <x v="3"/>
    <x v="0"/>
    <s v="Travel"/>
    <x v="1"/>
    <n v="77"/>
    <n v="5"/>
    <n v="17374.5"/>
    <n v="27"/>
    <n v="7416666.6666666605"/>
    <n v="35.1"/>
    <m/>
    <m/>
    <n v="165"/>
    <n v="3"/>
    <n v="643.5"/>
  </r>
  <r>
    <x v="3"/>
    <x v="9"/>
    <x v="3"/>
    <x v="1"/>
    <s v="Travel"/>
    <x v="1"/>
    <n v="77"/>
    <n v="5"/>
    <n v="24336"/>
    <n v="39"/>
    <n v="7416666.6666666605"/>
    <n v="50.7"/>
    <m/>
    <m/>
    <n v="160"/>
    <n v="3"/>
    <n v="624"/>
  </r>
  <r>
    <x v="3"/>
    <x v="9"/>
    <x v="3"/>
    <x v="2"/>
    <s v="Travel"/>
    <x v="1"/>
    <n v="77"/>
    <n v="9"/>
    <n v="21879"/>
    <n v="33"/>
    <n v="7416666.6666666605"/>
    <n v="42.9"/>
    <m/>
    <m/>
    <n v="170"/>
    <n v="3"/>
    <n v="663"/>
  </r>
  <r>
    <x v="3"/>
    <x v="9"/>
    <x v="3"/>
    <x v="0"/>
    <s v="Travel"/>
    <x v="2"/>
    <n v="77"/>
    <n v="5"/>
    <n v="6739.2000000000007"/>
    <n v="27"/>
    <n v="7416666.6666666605"/>
    <n v="35.1"/>
    <m/>
    <m/>
    <n v="64"/>
    <n v="3"/>
    <n v="249.60000000000002"/>
  </r>
  <r>
    <x v="3"/>
    <x v="9"/>
    <x v="3"/>
    <x v="1"/>
    <s v="Travel"/>
    <x v="2"/>
    <n v="77"/>
    <n v="5"/>
    <n v="6692.4000000000005"/>
    <n v="39"/>
    <n v="7416666.6666666605"/>
    <n v="50.7"/>
    <m/>
    <m/>
    <n v="44"/>
    <n v="3"/>
    <n v="171.60000000000002"/>
  </r>
  <r>
    <x v="3"/>
    <x v="9"/>
    <x v="3"/>
    <x v="2"/>
    <s v="Travel"/>
    <x v="2"/>
    <n v="77"/>
    <n v="9"/>
    <n v="7722"/>
    <n v="33"/>
    <n v="7416666.6666666605"/>
    <n v="42.9"/>
    <m/>
    <m/>
    <n v="60"/>
    <n v="3"/>
    <n v="2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0" firstHeaderRow="1" firstDataRow="1" firstDataCol="1"/>
  <pivotFields count="17">
    <pivotField axis="axisRow" subtotalTop="0" showAll="0">
      <items count="5">
        <item h="1" x="2"/>
        <item h="1" x="0"/>
        <item h="1" x="1"/>
        <item x="3"/>
        <item t="default"/>
      </items>
    </pivotField>
    <pivotField axis="axisRow" subtotalTop="0" showAll="0">
      <items count="11">
        <item h="1" x="7"/>
        <item h="1" x="5"/>
        <item h="1" x="2"/>
        <item x="8"/>
        <item h="1" x="3"/>
        <item h="1" x="4"/>
        <item h="1" x="9"/>
        <item h="1" x="6"/>
        <item h="1" x="0"/>
        <item h="1" x="1"/>
        <item t="default"/>
      </items>
    </pivotField>
    <pivotField axis="axisRow" subtotalTop="0" showAll="0">
      <items count="8">
        <item x="5"/>
        <item x="2"/>
        <item x="6"/>
        <item x="4"/>
        <item x="0"/>
        <item x="1"/>
        <item x="3"/>
        <item t="default"/>
      </items>
    </pivotField>
    <pivotField subtotalTop="0" showAll="0">
      <items count="4">
        <item x="1"/>
        <item x="0"/>
        <item x="2"/>
        <item t="default"/>
      </items>
    </pivotField>
    <pivotField subtotalTop="0" showAll="0"/>
    <pivotField subtotalTop="0" showAll="0"/>
    <pivotField subtotalTop="0" showAll="0"/>
    <pivotField subtotalTop="0" showAll="0"/>
    <pivotField numFmtId="164" subtotalTop="0" showAll="0"/>
    <pivotField dataField="1" subtotalTop="0" showAll="0"/>
    <pivotField numFmtId="165" subtotalTop="0" showAll="0"/>
    <pivotField numFmtId="1" subtotalTop="0" showAll="0"/>
    <pivotField subtotalTop="0" showAll="0"/>
    <pivotField subtotalTop="0" showAll="0"/>
    <pivotField numFmtId="164" subtotalTop="0" showAll="0"/>
    <pivotField subtotalTop="0" showAll="0"/>
    <pivotField numFmtId="165" subtotalTop="0" showAll="0"/>
  </pivotFields>
  <rowFields count="3">
    <field x="0"/>
    <field x="1"/>
    <field x="2"/>
  </rowFields>
  <rowItems count="9">
    <i>
      <x v="3"/>
    </i>
    <i r="1">
      <x v="3"/>
    </i>
    <i r="2">
      <x/>
    </i>
    <i r="2">
      <x v="2"/>
    </i>
    <i r="2">
      <x v="3"/>
    </i>
    <i r="2">
      <x v="4"/>
    </i>
    <i t="default" r="1">
      <x v="3"/>
    </i>
    <i t="default">
      <x v="3"/>
    </i>
    <i t="grand">
      <x/>
    </i>
  </rowItems>
  <colItems count="1">
    <i/>
  </colItems>
  <dataFields count="1">
    <dataField name="Sum of #  of people that travel this month" fld="9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22" firstHeaderRow="1" firstDataRow="1" firstDataCol="1"/>
  <pivotFields count="17">
    <pivotField axis="axisRow" subtotalTop="0" showAll="0">
      <items count="5">
        <item x="2"/>
        <item x="0"/>
        <item x="1"/>
        <item x="3"/>
        <item t="default"/>
      </items>
    </pivotField>
    <pivotField subtotalTop="0" showAll="0"/>
    <pivotField subtotalTop="0" showAll="0"/>
    <pivotField subtotalTop="0" showAll="0"/>
    <pivotField subtotalTop="0" showAll="0"/>
    <pivotField axis="axisRow" subtotalTop="0" showAll="0">
      <items count="4">
        <item x="0"/>
        <item x="1"/>
        <item x="2"/>
        <item t="default"/>
      </items>
    </pivotField>
    <pivotField subtotalTop="0" showAll="0"/>
    <pivotField subtotalTop="0" showAll="0"/>
    <pivotField numFmtId="164" subtotalTop="0" showAll="0"/>
    <pivotField subtotalTop="0" showAll="0"/>
    <pivotField numFmtId="165" subtotalTop="0" showAll="0"/>
    <pivotField numFmtId="1" subtotalTop="0" showAll="0"/>
    <pivotField subtotalTop="0" showAll="0"/>
    <pivotField subtotalTop="0" showAll="0"/>
    <pivotField numFmtId="164" subtotalTop="0" showAll="0"/>
    <pivotField subtotalTop="0" showAll="0"/>
    <pivotField dataField="1" numFmtId="165" subtotalTop="0" showAll="0"/>
  </pivotFields>
  <rowFields count="2">
    <field x="0"/>
    <field x="5"/>
  </rowFields>
  <rowItems count="21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Average cost a person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20" sqref="B20"/>
    </sheetView>
  </sheetViews>
  <sheetFormatPr defaultRowHeight="14.4" x14ac:dyDescent="0.3"/>
  <cols>
    <col min="1" max="1" width="19" customWidth="1"/>
    <col min="2" max="3" width="36.33203125" bestFit="1" customWidth="1"/>
  </cols>
  <sheetData>
    <row r="1" spans="1:2" x14ac:dyDescent="0.3">
      <c r="A1" s="25" t="s">
        <v>48</v>
      </c>
      <c r="B1" t="s">
        <v>55</v>
      </c>
    </row>
    <row r="2" spans="1:2" x14ac:dyDescent="0.3">
      <c r="A2" s="26" t="s">
        <v>20</v>
      </c>
      <c r="B2" s="29"/>
    </row>
    <row r="3" spans="1:2" x14ac:dyDescent="0.3">
      <c r="A3" s="27" t="s">
        <v>21</v>
      </c>
      <c r="B3" s="29"/>
    </row>
    <row r="4" spans="1:2" x14ac:dyDescent="0.3">
      <c r="A4" s="28" t="s">
        <v>29</v>
      </c>
      <c r="B4" s="29">
        <v>414</v>
      </c>
    </row>
    <row r="5" spans="1:2" x14ac:dyDescent="0.3">
      <c r="A5" s="28" t="s">
        <v>28</v>
      </c>
      <c r="B5" s="29">
        <v>81</v>
      </c>
    </row>
    <row r="6" spans="1:2" x14ac:dyDescent="0.3">
      <c r="A6" s="28" t="s">
        <v>26</v>
      </c>
      <c r="B6" s="29">
        <v>132</v>
      </c>
    </row>
    <row r="7" spans="1:2" x14ac:dyDescent="0.3">
      <c r="A7" s="28" t="s">
        <v>27</v>
      </c>
      <c r="B7" s="29">
        <v>108</v>
      </c>
    </row>
    <row r="8" spans="1:2" x14ac:dyDescent="0.3">
      <c r="A8" s="27" t="s">
        <v>54</v>
      </c>
      <c r="B8" s="29">
        <v>735</v>
      </c>
    </row>
    <row r="9" spans="1:2" x14ac:dyDescent="0.3">
      <c r="A9" s="26" t="s">
        <v>53</v>
      </c>
      <c r="B9" s="29">
        <v>735</v>
      </c>
    </row>
    <row r="10" spans="1:2" x14ac:dyDescent="0.3">
      <c r="A10" s="26" t="s">
        <v>49</v>
      </c>
      <c r="B10" s="29">
        <v>735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D24" sqref="D24"/>
    </sheetView>
  </sheetViews>
  <sheetFormatPr defaultRowHeight="14.4" x14ac:dyDescent="0.3"/>
  <cols>
    <col min="1" max="1" width="17.88671875" bestFit="1" customWidth="1"/>
    <col min="2" max="2" width="25.77734375" bestFit="1" customWidth="1"/>
  </cols>
  <sheetData>
    <row r="1" spans="1:2" x14ac:dyDescent="0.3">
      <c r="A1" s="25" t="s">
        <v>48</v>
      </c>
      <c r="B1" t="s">
        <v>56</v>
      </c>
    </row>
    <row r="2" spans="1:2" x14ac:dyDescent="0.3">
      <c r="A2" s="26" t="s">
        <v>32</v>
      </c>
      <c r="B2" s="29"/>
    </row>
    <row r="3" spans="1:2" x14ac:dyDescent="0.3">
      <c r="A3" s="27" t="s">
        <v>9</v>
      </c>
      <c r="B3" s="29">
        <v>21257.576741259476</v>
      </c>
    </row>
    <row r="4" spans="1:2" x14ac:dyDescent="0.3">
      <c r="A4" s="27" t="s">
        <v>10</v>
      </c>
      <c r="B4" s="29">
        <v>19146.75853924669</v>
      </c>
    </row>
    <row r="5" spans="1:2" x14ac:dyDescent="0.3">
      <c r="A5" s="27" t="s">
        <v>11</v>
      </c>
      <c r="B5" s="29">
        <v>2767.9462951622777</v>
      </c>
    </row>
    <row r="6" spans="1:2" x14ac:dyDescent="0.3">
      <c r="A6" s="26" t="s">
        <v>50</v>
      </c>
      <c r="B6" s="29">
        <v>43172.281575668443</v>
      </c>
    </row>
    <row r="7" spans="1:2" x14ac:dyDescent="0.3">
      <c r="A7" s="26" t="s">
        <v>14</v>
      </c>
      <c r="B7" s="29"/>
    </row>
    <row r="8" spans="1:2" x14ac:dyDescent="0.3">
      <c r="A8" s="27" t="s">
        <v>9</v>
      </c>
      <c r="B8" s="29">
        <v>66651</v>
      </c>
    </row>
    <row r="9" spans="1:2" x14ac:dyDescent="0.3">
      <c r="A9" s="27" t="s">
        <v>10</v>
      </c>
      <c r="B9" s="29">
        <v>7004.4</v>
      </c>
    </row>
    <row r="10" spans="1:2" x14ac:dyDescent="0.3">
      <c r="A10" s="27" t="s">
        <v>11</v>
      </c>
      <c r="B10" s="29">
        <v>5109</v>
      </c>
    </row>
    <row r="11" spans="1:2" x14ac:dyDescent="0.3">
      <c r="A11" s="26" t="s">
        <v>51</v>
      </c>
      <c r="B11" s="29">
        <v>78764.399999999994</v>
      </c>
    </row>
    <row r="12" spans="1:2" x14ac:dyDescent="0.3">
      <c r="A12" s="26" t="s">
        <v>19</v>
      </c>
      <c r="B12" s="29"/>
    </row>
    <row r="13" spans="1:2" x14ac:dyDescent="0.3">
      <c r="A13" s="27" t="s">
        <v>9</v>
      </c>
      <c r="B13" s="29">
        <v>17269.2</v>
      </c>
    </row>
    <row r="14" spans="1:2" x14ac:dyDescent="0.3">
      <c r="A14" s="27" t="s">
        <v>10</v>
      </c>
      <c r="B14" s="29">
        <v>6974.5</v>
      </c>
    </row>
    <row r="15" spans="1:2" x14ac:dyDescent="0.3">
      <c r="A15" s="27" t="s">
        <v>11</v>
      </c>
      <c r="B15" s="29">
        <v>2418</v>
      </c>
    </row>
    <row r="16" spans="1:2" x14ac:dyDescent="0.3">
      <c r="A16" s="26" t="s">
        <v>52</v>
      </c>
      <c r="B16" s="29">
        <v>26661.7</v>
      </c>
    </row>
    <row r="17" spans="1:2" x14ac:dyDescent="0.3">
      <c r="A17" s="26" t="s">
        <v>20</v>
      </c>
      <c r="B17" s="29"/>
    </row>
    <row r="18" spans="1:2" x14ac:dyDescent="0.3">
      <c r="A18" s="27" t="s">
        <v>9</v>
      </c>
      <c r="B18" s="29">
        <v>34097.700000000004</v>
      </c>
    </row>
    <row r="19" spans="1:2" x14ac:dyDescent="0.3">
      <c r="A19" s="27" t="s">
        <v>10</v>
      </c>
      <c r="B19" s="29">
        <v>13408.2</v>
      </c>
    </row>
    <row r="20" spans="1:2" x14ac:dyDescent="0.3">
      <c r="A20" s="27" t="s">
        <v>11</v>
      </c>
      <c r="B20" s="29">
        <v>4184.7</v>
      </c>
    </row>
    <row r="21" spans="1:2" x14ac:dyDescent="0.3">
      <c r="A21" s="26" t="s">
        <v>53</v>
      </c>
      <c r="B21" s="29">
        <v>51690.600000000006</v>
      </c>
    </row>
    <row r="22" spans="1:2" x14ac:dyDescent="0.3">
      <c r="A22" s="26" t="s">
        <v>49</v>
      </c>
      <c r="B22" s="29">
        <v>200288.98157566847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3"/>
  <sheetViews>
    <sheetView tabSelected="1" topLeftCell="H1" workbookViewId="0">
      <pane ySplit="1" topLeftCell="A2" activePane="bottomLeft" state="frozen"/>
      <selection pane="bottomLeft" activeCell="R4" sqref="R4"/>
    </sheetView>
  </sheetViews>
  <sheetFormatPr defaultRowHeight="14.4" x14ac:dyDescent="0.3"/>
  <cols>
    <col min="1" max="1" width="13" bestFit="1" customWidth="1"/>
    <col min="2" max="2" width="13.5546875" customWidth="1"/>
    <col min="3" max="3" width="13.21875" customWidth="1"/>
    <col min="4" max="6" width="8.77734375" customWidth="1"/>
    <col min="7" max="7" width="28.77734375" customWidth="1"/>
    <col min="8" max="8" width="18.21875" customWidth="1"/>
    <col min="9" max="9" width="25" customWidth="1"/>
    <col min="10" max="10" width="29.5546875" customWidth="1"/>
    <col min="11" max="11" width="18.21875" customWidth="1"/>
    <col min="12" max="12" width="19.5546875" customWidth="1"/>
    <col min="13" max="13" width="8.77734375" customWidth="1"/>
    <col min="14" max="14" width="11.44140625" customWidth="1"/>
    <col min="15" max="15" width="11.5546875" bestFit="1" customWidth="1"/>
    <col min="16" max="16" width="8.77734375" customWidth="1"/>
    <col min="17" max="17" width="15.109375" customWidth="1"/>
  </cols>
  <sheetData>
    <row r="1" spans="1:16" x14ac:dyDescent="0.3">
      <c r="A1" s="1" t="s">
        <v>2</v>
      </c>
      <c r="B1" s="2" t="s">
        <v>3</v>
      </c>
      <c r="C1" s="2" t="s">
        <v>4</v>
      </c>
      <c r="D1" s="2" t="s">
        <v>0</v>
      </c>
      <c r="E1" s="2" t="s">
        <v>1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11" t="s">
        <v>66</v>
      </c>
      <c r="P1" s="3" t="s">
        <v>67</v>
      </c>
    </row>
    <row r="2" spans="1:16" x14ac:dyDescent="0.3">
      <c r="A2" s="4" t="s">
        <v>14</v>
      </c>
      <c r="B2" s="5" t="s">
        <v>15</v>
      </c>
      <c r="C2" s="5" t="s">
        <v>27</v>
      </c>
      <c r="D2" s="5" t="s">
        <v>5</v>
      </c>
      <c r="E2" s="5" t="s">
        <v>8</v>
      </c>
      <c r="F2" s="5" t="s">
        <v>9</v>
      </c>
      <c r="G2" s="5">
        <v>110</v>
      </c>
      <c r="H2" s="5">
        <v>2</v>
      </c>
      <c r="I2" s="10">
        <f t="shared" ref="I2:I65" si="0">L2*O2</f>
        <v>33976.800000000003</v>
      </c>
      <c r="J2" s="5">
        <v>12</v>
      </c>
      <c r="K2" s="12">
        <v>4916666.6666666605</v>
      </c>
      <c r="L2" s="6">
        <f t="shared" ref="L2:L65" si="1">J2*1.3</f>
        <v>15.600000000000001</v>
      </c>
      <c r="M2" s="5"/>
      <c r="N2" s="5"/>
      <c r="O2" s="10">
        <v>2178</v>
      </c>
      <c r="P2" s="7"/>
    </row>
    <row r="3" spans="1:16" x14ac:dyDescent="0.3">
      <c r="A3" s="4" t="s">
        <v>14</v>
      </c>
      <c r="B3" s="5" t="s">
        <v>15</v>
      </c>
      <c r="C3" s="5" t="s">
        <v>27</v>
      </c>
      <c r="D3" s="5" t="s">
        <v>6</v>
      </c>
      <c r="E3" s="5" t="s">
        <v>8</v>
      </c>
      <c r="F3" s="5" t="s">
        <v>9</v>
      </c>
      <c r="G3" s="5">
        <v>110</v>
      </c>
      <c r="H3" s="5">
        <v>2</v>
      </c>
      <c r="I3" s="10">
        <f t="shared" si="0"/>
        <v>36163.4</v>
      </c>
      <c r="J3" s="5">
        <v>14</v>
      </c>
      <c r="K3" s="12">
        <v>4916666.6666666605</v>
      </c>
      <c r="L3" s="6">
        <f t="shared" si="1"/>
        <v>18.2</v>
      </c>
      <c r="M3" s="5"/>
      <c r="N3" s="5"/>
      <c r="O3" s="10">
        <v>1987</v>
      </c>
      <c r="P3" s="7"/>
    </row>
    <row r="4" spans="1:16" x14ac:dyDescent="0.3">
      <c r="A4" s="4" t="s">
        <v>14</v>
      </c>
      <c r="B4" s="5" t="s">
        <v>15</v>
      </c>
      <c r="C4" s="5" t="s">
        <v>27</v>
      </c>
      <c r="D4" s="5" t="s">
        <v>7</v>
      </c>
      <c r="E4" s="5" t="s">
        <v>8</v>
      </c>
      <c r="F4" s="5" t="s">
        <v>9</v>
      </c>
      <c r="G4" s="5">
        <v>110</v>
      </c>
      <c r="H4" s="5">
        <v>11</v>
      </c>
      <c r="I4" s="10">
        <f t="shared" si="0"/>
        <v>29003</v>
      </c>
      <c r="J4" s="5">
        <v>10</v>
      </c>
      <c r="K4" s="12">
        <v>4916666.6666666605</v>
      </c>
      <c r="L4" s="6">
        <f t="shared" si="1"/>
        <v>13</v>
      </c>
      <c r="M4" s="5"/>
      <c r="N4" s="5"/>
      <c r="O4" s="10">
        <v>2231</v>
      </c>
      <c r="P4" s="7"/>
    </row>
    <row r="5" spans="1:16" x14ac:dyDescent="0.3">
      <c r="A5" s="4" t="s">
        <v>14</v>
      </c>
      <c r="B5" s="5" t="s">
        <v>15</v>
      </c>
      <c r="C5" s="5" t="s">
        <v>27</v>
      </c>
      <c r="D5" s="5" t="s">
        <v>5</v>
      </c>
      <c r="E5" s="5" t="s">
        <v>8</v>
      </c>
      <c r="F5" s="5" t="s">
        <v>10</v>
      </c>
      <c r="G5" s="5">
        <v>110</v>
      </c>
      <c r="H5" s="5">
        <v>2</v>
      </c>
      <c r="I5" s="10">
        <f t="shared" ref="I5:I10" si="2">L5*O5*P5</f>
        <v>4680.0000000000009</v>
      </c>
      <c r="J5" s="5">
        <v>12</v>
      </c>
      <c r="K5" s="12">
        <v>4916666.6666666605</v>
      </c>
      <c r="L5" s="6">
        <f t="shared" si="1"/>
        <v>15.600000000000001</v>
      </c>
      <c r="M5" s="5"/>
      <c r="N5" s="5"/>
      <c r="O5" s="10">
        <v>100</v>
      </c>
      <c r="P5" s="7">
        <v>3</v>
      </c>
    </row>
    <row r="6" spans="1:16" x14ac:dyDescent="0.3">
      <c r="A6" s="4" t="s">
        <v>14</v>
      </c>
      <c r="B6" s="5" t="s">
        <v>15</v>
      </c>
      <c r="C6" s="5" t="s">
        <v>27</v>
      </c>
      <c r="D6" s="5" t="s">
        <v>6</v>
      </c>
      <c r="E6" s="5" t="s">
        <v>8</v>
      </c>
      <c r="F6" s="5" t="s">
        <v>10</v>
      </c>
      <c r="G6" s="5">
        <v>110</v>
      </c>
      <c r="H6" s="5">
        <v>2</v>
      </c>
      <c r="I6" s="10">
        <f t="shared" si="2"/>
        <v>5132.3999999999996</v>
      </c>
      <c r="J6" s="5">
        <v>14</v>
      </c>
      <c r="K6" s="12">
        <v>4916666.6666666605</v>
      </c>
      <c r="L6" s="6">
        <f t="shared" si="1"/>
        <v>18.2</v>
      </c>
      <c r="M6" s="5"/>
      <c r="N6" s="5"/>
      <c r="O6" s="10">
        <v>94</v>
      </c>
      <c r="P6" s="7">
        <v>3</v>
      </c>
    </row>
    <row r="7" spans="1:16" x14ac:dyDescent="0.3">
      <c r="A7" s="4" t="s">
        <v>14</v>
      </c>
      <c r="B7" s="5" t="s">
        <v>15</v>
      </c>
      <c r="C7" s="5" t="s">
        <v>27</v>
      </c>
      <c r="D7" s="5" t="s">
        <v>7</v>
      </c>
      <c r="E7" s="5" t="s">
        <v>8</v>
      </c>
      <c r="F7" s="5" t="s">
        <v>10</v>
      </c>
      <c r="G7" s="5">
        <v>110</v>
      </c>
      <c r="H7" s="5">
        <v>11</v>
      </c>
      <c r="I7" s="10">
        <f t="shared" si="2"/>
        <v>3510</v>
      </c>
      <c r="J7" s="5">
        <v>10</v>
      </c>
      <c r="K7" s="12">
        <v>4916666.6666666605</v>
      </c>
      <c r="L7" s="6">
        <f t="shared" si="1"/>
        <v>13</v>
      </c>
      <c r="M7" s="5"/>
      <c r="N7" s="5"/>
      <c r="O7" s="10">
        <v>90</v>
      </c>
      <c r="P7" s="7">
        <v>3</v>
      </c>
    </row>
    <row r="8" spans="1:16" x14ac:dyDescent="0.3">
      <c r="A8" s="4" t="s">
        <v>14</v>
      </c>
      <c r="B8" s="5" t="s">
        <v>15</v>
      </c>
      <c r="C8" s="5" t="s">
        <v>27</v>
      </c>
      <c r="D8" s="5" t="s">
        <v>5</v>
      </c>
      <c r="E8" s="5" t="s">
        <v>8</v>
      </c>
      <c r="F8" s="5" t="s">
        <v>11</v>
      </c>
      <c r="G8" s="5">
        <v>110</v>
      </c>
      <c r="H8" s="5">
        <v>2</v>
      </c>
      <c r="I8" s="10">
        <f t="shared" si="2"/>
        <v>3463.2000000000003</v>
      </c>
      <c r="J8" s="5">
        <v>12</v>
      </c>
      <c r="K8" s="12">
        <v>4916666.6666666605</v>
      </c>
      <c r="L8" s="6">
        <f t="shared" si="1"/>
        <v>15.600000000000001</v>
      </c>
      <c r="M8" s="5"/>
      <c r="N8" s="5"/>
      <c r="O8" s="13">
        <v>74</v>
      </c>
      <c r="P8" s="7">
        <v>3</v>
      </c>
    </row>
    <row r="9" spans="1:16" x14ac:dyDescent="0.3">
      <c r="A9" s="4" t="s">
        <v>14</v>
      </c>
      <c r="B9" s="5" t="s">
        <v>15</v>
      </c>
      <c r="C9" s="5" t="s">
        <v>27</v>
      </c>
      <c r="D9" s="5" t="s">
        <v>6</v>
      </c>
      <c r="E9" s="5" t="s">
        <v>8</v>
      </c>
      <c r="F9" s="5" t="s">
        <v>11</v>
      </c>
      <c r="G9" s="5">
        <v>110</v>
      </c>
      <c r="H9" s="5">
        <v>2</v>
      </c>
      <c r="I9" s="10">
        <f t="shared" si="2"/>
        <v>3494.3999999999996</v>
      </c>
      <c r="J9" s="5">
        <v>14</v>
      </c>
      <c r="K9" s="12">
        <v>4916666.6666666605</v>
      </c>
      <c r="L9" s="6">
        <f t="shared" si="1"/>
        <v>18.2</v>
      </c>
      <c r="M9" s="5"/>
      <c r="N9" s="5"/>
      <c r="O9" s="13">
        <v>64</v>
      </c>
      <c r="P9" s="7">
        <v>3</v>
      </c>
    </row>
    <row r="10" spans="1:16" x14ac:dyDescent="0.3">
      <c r="A10" s="4" t="s">
        <v>14</v>
      </c>
      <c r="B10" s="5" t="s">
        <v>15</v>
      </c>
      <c r="C10" s="5" t="s">
        <v>27</v>
      </c>
      <c r="D10" s="5" t="s">
        <v>7</v>
      </c>
      <c r="E10" s="5" t="s">
        <v>8</v>
      </c>
      <c r="F10" s="5" t="s">
        <v>11</v>
      </c>
      <c r="G10" s="5">
        <v>110</v>
      </c>
      <c r="H10" s="5">
        <v>11</v>
      </c>
      <c r="I10" s="10">
        <f t="shared" si="2"/>
        <v>3042</v>
      </c>
      <c r="J10" s="5">
        <v>10</v>
      </c>
      <c r="K10" s="12">
        <v>4916666.6666666605</v>
      </c>
      <c r="L10" s="6">
        <f t="shared" si="1"/>
        <v>13</v>
      </c>
      <c r="M10" s="5"/>
      <c r="N10" s="5"/>
      <c r="O10" s="13">
        <v>78</v>
      </c>
      <c r="P10" s="7">
        <v>3</v>
      </c>
    </row>
    <row r="11" spans="1:16" x14ac:dyDescent="0.3">
      <c r="A11" s="4" t="s">
        <v>14</v>
      </c>
      <c r="B11" s="5" t="s">
        <v>15</v>
      </c>
      <c r="C11" s="5" t="s">
        <v>13</v>
      </c>
      <c r="D11" s="5" t="s">
        <v>5</v>
      </c>
      <c r="E11" s="5" t="s">
        <v>8</v>
      </c>
      <c r="F11" s="5" t="s">
        <v>9</v>
      </c>
      <c r="G11" s="5">
        <v>78</v>
      </c>
      <c r="H11" s="5">
        <v>4</v>
      </c>
      <c r="I11" s="10">
        <f t="shared" si="0"/>
        <v>51296.700000000004</v>
      </c>
      <c r="J11" s="5">
        <v>21</v>
      </c>
      <c r="K11" s="12">
        <v>4916666.6666666605</v>
      </c>
      <c r="L11" s="6">
        <f t="shared" si="1"/>
        <v>27.3</v>
      </c>
      <c r="M11" s="5"/>
      <c r="N11" s="5"/>
      <c r="O11" s="13">
        <v>1879</v>
      </c>
      <c r="P11" s="7"/>
    </row>
    <row r="12" spans="1:16" x14ac:dyDescent="0.3">
      <c r="A12" s="4" t="s">
        <v>14</v>
      </c>
      <c r="B12" s="5" t="s">
        <v>15</v>
      </c>
      <c r="C12" s="5" t="s">
        <v>13</v>
      </c>
      <c r="D12" s="5" t="s">
        <v>6</v>
      </c>
      <c r="E12" s="5" t="s">
        <v>8</v>
      </c>
      <c r="F12" s="5" t="s">
        <v>9</v>
      </c>
      <c r="G12" s="5">
        <v>78</v>
      </c>
      <c r="H12" s="5">
        <v>4</v>
      </c>
      <c r="I12" s="10">
        <f t="shared" si="0"/>
        <v>41249</v>
      </c>
      <c r="J12" s="5">
        <v>19</v>
      </c>
      <c r="K12" s="12">
        <v>4916666.6666666605</v>
      </c>
      <c r="L12" s="6">
        <f t="shared" si="1"/>
        <v>24.7</v>
      </c>
      <c r="M12" s="5"/>
      <c r="N12" s="5"/>
      <c r="O12" s="13">
        <v>1670</v>
      </c>
      <c r="P12" s="7"/>
    </row>
    <row r="13" spans="1:16" x14ac:dyDescent="0.3">
      <c r="A13" s="4" t="s">
        <v>14</v>
      </c>
      <c r="B13" s="5" t="s">
        <v>15</v>
      </c>
      <c r="C13" s="5" t="s">
        <v>13</v>
      </c>
      <c r="D13" s="5" t="s">
        <v>7</v>
      </c>
      <c r="E13" s="5" t="s">
        <v>8</v>
      </c>
      <c r="F13" s="5" t="s">
        <v>9</v>
      </c>
      <c r="G13" s="5">
        <v>78</v>
      </c>
      <c r="H13" s="5">
        <v>12</v>
      </c>
      <c r="I13" s="10">
        <f t="shared" si="0"/>
        <v>86361.600000000006</v>
      </c>
      <c r="J13" s="5">
        <v>24</v>
      </c>
      <c r="K13" s="12">
        <v>4916666.6666666605</v>
      </c>
      <c r="L13" s="6">
        <f t="shared" si="1"/>
        <v>31.200000000000003</v>
      </c>
      <c r="M13" s="5"/>
      <c r="N13" s="5"/>
      <c r="O13" s="13">
        <v>2768</v>
      </c>
      <c r="P13" s="7"/>
    </row>
    <row r="14" spans="1:16" x14ac:dyDescent="0.3">
      <c r="A14" s="4" t="s">
        <v>14</v>
      </c>
      <c r="B14" s="5" t="s">
        <v>15</v>
      </c>
      <c r="C14" s="5" t="s">
        <v>13</v>
      </c>
      <c r="D14" s="5" t="s">
        <v>5</v>
      </c>
      <c r="E14" s="5" t="s">
        <v>8</v>
      </c>
      <c r="F14" s="5" t="s">
        <v>10</v>
      </c>
      <c r="G14" s="5">
        <v>78</v>
      </c>
      <c r="H14" s="5">
        <v>4</v>
      </c>
      <c r="I14" s="10">
        <f t="shared" ref="I14:I19" si="3">L14*O14*P14</f>
        <v>6879.6</v>
      </c>
      <c r="J14" s="5">
        <v>21</v>
      </c>
      <c r="K14" s="12">
        <v>4916666.6666666605</v>
      </c>
      <c r="L14" s="6">
        <f t="shared" si="1"/>
        <v>27.3</v>
      </c>
      <c r="M14" s="5"/>
      <c r="N14" s="5"/>
      <c r="O14" s="13">
        <v>84</v>
      </c>
      <c r="P14" s="7">
        <v>3</v>
      </c>
    </row>
    <row r="15" spans="1:16" x14ac:dyDescent="0.3">
      <c r="A15" s="4" t="s">
        <v>14</v>
      </c>
      <c r="B15" s="5" t="s">
        <v>15</v>
      </c>
      <c r="C15" s="5" t="s">
        <v>13</v>
      </c>
      <c r="D15" s="5" t="s">
        <v>6</v>
      </c>
      <c r="E15" s="5" t="s">
        <v>8</v>
      </c>
      <c r="F15" s="5" t="s">
        <v>10</v>
      </c>
      <c r="G15" s="5">
        <v>78</v>
      </c>
      <c r="H15" s="5">
        <v>4</v>
      </c>
      <c r="I15" s="10">
        <f t="shared" si="3"/>
        <v>5779.7999999999993</v>
      </c>
      <c r="J15" s="5">
        <v>19</v>
      </c>
      <c r="K15" s="12">
        <v>4916666.6666666605</v>
      </c>
      <c r="L15" s="6">
        <f t="shared" si="1"/>
        <v>24.7</v>
      </c>
      <c r="M15" s="5"/>
      <c r="N15" s="5"/>
      <c r="O15" s="13">
        <v>78</v>
      </c>
      <c r="P15" s="7">
        <v>3</v>
      </c>
    </row>
    <row r="16" spans="1:16" x14ac:dyDescent="0.3">
      <c r="A16" s="4" t="s">
        <v>14</v>
      </c>
      <c r="B16" s="5" t="s">
        <v>15</v>
      </c>
      <c r="C16" s="5" t="s">
        <v>13</v>
      </c>
      <c r="D16" s="5" t="s">
        <v>7</v>
      </c>
      <c r="E16" s="5" t="s">
        <v>8</v>
      </c>
      <c r="F16" s="5" t="s">
        <v>10</v>
      </c>
      <c r="G16" s="5">
        <v>78</v>
      </c>
      <c r="H16" s="5">
        <v>12</v>
      </c>
      <c r="I16" s="10">
        <f t="shared" si="3"/>
        <v>6739.2000000000007</v>
      </c>
      <c r="J16" s="5">
        <v>24</v>
      </c>
      <c r="K16" s="12">
        <v>4916666.6666666605</v>
      </c>
      <c r="L16" s="6">
        <f t="shared" si="1"/>
        <v>31.200000000000003</v>
      </c>
      <c r="M16" s="5"/>
      <c r="N16" s="5"/>
      <c r="O16" s="13">
        <v>72</v>
      </c>
      <c r="P16" s="7">
        <v>3</v>
      </c>
    </row>
    <row r="17" spans="1:16" x14ac:dyDescent="0.3">
      <c r="A17" s="4" t="s">
        <v>14</v>
      </c>
      <c r="B17" s="5" t="s">
        <v>15</v>
      </c>
      <c r="C17" s="5" t="s">
        <v>13</v>
      </c>
      <c r="D17" s="5" t="s">
        <v>5</v>
      </c>
      <c r="E17" s="5" t="s">
        <v>8</v>
      </c>
      <c r="F17" s="5" t="s">
        <v>11</v>
      </c>
      <c r="G17" s="5">
        <v>78</v>
      </c>
      <c r="H17" s="5">
        <v>4</v>
      </c>
      <c r="I17" s="10">
        <f t="shared" si="3"/>
        <v>5896.8</v>
      </c>
      <c r="J17" s="5">
        <v>21</v>
      </c>
      <c r="K17" s="12">
        <v>4916666.6666666605</v>
      </c>
      <c r="L17" s="6">
        <f t="shared" si="1"/>
        <v>27.3</v>
      </c>
      <c r="M17" s="5"/>
      <c r="N17" s="5"/>
      <c r="O17" s="13">
        <v>72</v>
      </c>
      <c r="P17" s="7">
        <v>3</v>
      </c>
    </row>
    <row r="18" spans="1:16" x14ac:dyDescent="0.3">
      <c r="A18" s="4" t="s">
        <v>14</v>
      </c>
      <c r="B18" s="5" t="s">
        <v>15</v>
      </c>
      <c r="C18" s="5" t="s">
        <v>13</v>
      </c>
      <c r="D18" s="5" t="s">
        <v>6</v>
      </c>
      <c r="E18" s="5" t="s">
        <v>8</v>
      </c>
      <c r="F18" s="5" t="s">
        <v>11</v>
      </c>
      <c r="G18" s="5">
        <v>78</v>
      </c>
      <c r="H18" s="5">
        <v>4</v>
      </c>
      <c r="I18" s="10">
        <f t="shared" si="3"/>
        <v>4446</v>
      </c>
      <c r="J18" s="5">
        <v>19</v>
      </c>
      <c r="K18" s="12">
        <v>4916666.6666666605</v>
      </c>
      <c r="L18" s="6">
        <f t="shared" si="1"/>
        <v>24.7</v>
      </c>
      <c r="M18" s="5"/>
      <c r="N18" s="5"/>
      <c r="O18" s="13">
        <v>60</v>
      </c>
      <c r="P18" s="7">
        <v>3</v>
      </c>
    </row>
    <row r="19" spans="1:16" x14ac:dyDescent="0.3">
      <c r="A19" s="4" t="s">
        <v>14</v>
      </c>
      <c r="B19" s="5" t="s">
        <v>15</v>
      </c>
      <c r="C19" s="5" t="s">
        <v>13</v>
      </c>
      <c r="D19" s="5" t="s">
        <v>7</v>
      </c>
      <c r="E19" s="5" t="s">
        <v>8</v>
      </c>
      <c r="F19" s="5" t="s">
        <v>11</v>
      </c>
      <c r="G19" s="5">
        <v>78</v>
      </c>
      <c r="H19" s="5">
        <v>12</v>
      </c>
      <c r="I19" s="10">
        <f t="shared" si="3"/>
        <v>5990.4000000000005</v>
      </c>
      <c r="J19" s="5">
        <v>24</v>
      </c>
      <c r="K19" s="12">
        <v>4916666.6666666605</v>
      </c>
      <c r="L19" s="6">
        <f t="shared" si="1"/>
        <v>31.200000000000003</v>
      </c>
      <c r="M19" s="5"/>
      <c r="N19" s="5"/>
      <c r="O19" s="13">
        <v>64</v>
      </c>
      <c r="P19" s="7">
        <v>3</v>
      </c>
    </row>
    <row r="20" spans="1:16" x14ac:dyDescent="0.3">
      <c r="A20" s="4" t="s">
        <v>14</v>
      </c>
      <c r="B20" s="5" t="s">
        <v>16</v>
      </c>
      <c r="C20" s="5" t="s">
        <v>12</v>
      </c>
      <c r="D20" s="5" t="s">
        <v>5</v>
      </c>
      <c r="E20" s="5" t="s">
        <v>8</v>
      </c>
      <c r="F20" s="5" t="s">
        <v>9</v>
      </c>
      <c r="G20" s="5">
        <v>38</v>
      </c>
      <c r="H20" s="5">
        <v>6</v>
      </c>
      <c r="I20" s="10">
        <f t="shared" si="0"/>
        <v>24675.300000000003</v>
      </c>
      <c r="J20" s="5">
        <v>9</v>
      </c>
      <c r="K20" s="12">
        <v>5500000</v>
      </c>
      <c r="L20" s="6">
        <f t="shared" si="1"/>
        <v>11.700000000000001</v>
      </c>
      <c r="M20" s="5"/>
      <c r="N20" s="5"/>
      <c r="O20" s="13">
        <v>2109</v>
      </c>
      <c r="P20" s="7"/>
    </row>
    <row r="21" spans="1:16" x14ac:dyDescent="0.3">
      <c r="A21" s="4" t="s">
        <v>14</v>
      </c>
      <c r="B21" s="5" t="s">
        <v>16</v>
      </c>
      <c r="C21" s="5" t="s">
        <v>12</v>
      </c>
      <c r="D21" s="5" t="s">
        <v>6</v>
      </c>
      <c r="E21" s="5" t="s">
        <v>8</v>
      </c>
      <c r="F21" s="5" t="s">
        <v>9</v>
      </c>
      <c r="G21" s="5">
        <v>38</v>
      </c>
      <c r="H21" s="5">
        <v>6</v>
      </c>
      <c r="I21" s="10">
        <f t="shared" si="0"/>
        <v>21739.899999999998</v>
      </c>
      <c r="J21" s="5">
        <v>7</v>
      </c>
      <c r="K21" s="12">
        <v>5500000</v>
      </c>
      <c r="L21" s="6">
        <f t="shared" si="1"/>
        <v>9.1</v>
      </c>
      <c r="M21" s="5"/>
      <c r="N21" s="5"/>
      <c r="O21" s="13">
        <v>2389</v>
      </c>
      <c r="P21" s="7"/>
    </row>
    <row r="22" spans="1:16" x14ac:dyDescent="0.3">
      <c r="A22" s="4" t="s">
        <v>14</v>
      </c>
      <c r="B22" s="5" t="s">
        <v>16</v>
      </c>
      <c r="C22" s="5" t="s">
        <v>12</v>
      </c>
      <c r="D22" s="5" t="s">
        <v>7</v>
      </c>
      <c r="E22" s="5" t="s">
        <v>8</v>
      </c>
      <c r="F22" s="5" t="s">
        <v>9</v>
      </c>
      <c r="G22" s="5">
        <v>38</v>
      </c>
      <c r="H22" s="5">
        <v>11</v>
      </c>
      <c r="I22" s="10">
        <f t="shared" si="0"/>
        <v>20997.600000000002</v>
      </c>
      <c r="J22" s="5">
        <v>8</v>
      </c>
      <c r="K22" s="12">
        <v>5500000</v>
      </c>
      <c r="L22" s="6">
        <f t="shared" si="1"/>
        <v>10.4</v>
      </c>
      <c r="M22" s="5"/>
      <c r="N22" s="5"/>
      <c r="O22" s="13">
        <v>2019</v>
      </c>
      <c r="P22" s="7"/>
    </row>
    <row r="23" spans="1:16" x14ac:dyDescent="0.3">
      <c r="A23" s="4" t="s">
        <v>14</v>
      </c>
      <c r="B23" s="5" t="s">
        <v>16</v>
      </c>
      <c r="C23" s="5" t="s">
        <v>12</v>
      </c>
      <c r="D23" s="5" t="s">
        <v>5</v>
      </c>
      <c r="E23" s="5" t="s">
        <v>8</v>
      </c>
      <c r="F23" s="5" t="s">
        <v>10</v>
      </c>
      <c r="G23" s="5">
        <v>38</v>
      </c>
      <c r="H23" s="5">
        <v>6</v>
      </c>
      <c r="I23" s="10">
        <f t="shared" ref="I23:I28" si="4">L23*O23*P23</f>
        <v>2316.6000000000004</v>
      </c>
      <c r="J23" s="5">
        <v>9</v>
      </c>
      <c r="K23" s="12">
        <v>5500000</v>
      </c>
      <c r="L23" s="6">
        <f t="shared" si="1"/>
        <v>11.700000000000001</v>
      </c>
      <c r="M23" s="5"/>
      <c r="N23" s="5"/>
      <c r="O23" s="13">
        <v>66</v>
      </c>
      <c r="P23" s="7">
        <v>3</v>
      </c>
    </row>
    <row r="24" spans="1:16" x14ac:dyDescent="0.3">
      <c r="A24" s="4" t="s">
        <v>14</v>
      </c>
      <c r="B24" s="5" t="s">
        <v>16</v>
      </c>
      <c r="C24" s="5" t="s">
        <v>12</v>
      </c>
      <c r="D24" s="5" t="s">
        <v>6</v>
      </c>
      <c r="E24" s="5" t="s">
        <v>8</v>
      </c>
      <c r="F24" s="5" t="s">
        <v>10</v>
      </c>
      <c r="G24" s="5">
        <v>38</v>
      </c>
      <c r="H24" s="5">
        <v>6</v>
      </c>
      <c r="I24" s="10">
        <f t="shared" si="4"/>
        <v>2074.8000000000002</v>
      </c>
      <c r="J24" s="5">
        <v>7</v>
      </c>
      <c r="K24" s="12">
        <v>5500000</v>
      </c>
      <c r="L24" s="6">
        <f t="shared" si="1"/>
        <v>9.1</v>
      </c>
      <c r="M24" s="5"/>
      <c r="N24" s="5"/>
      <c r="O24" s="13">
        <v>76</v>
      </c>
      <c r="P24" s="7">
        <v>3</v>
      </c>
    </row>
    <row r="25" spans="1:16" x14ac:dyDescent="0.3">
      <c r="A25" s="4" t="s">
        <v>14</v>
      </c>
      <c r="B25" s="5" t="s">
        <v>16</v>
      </c>
      <c r="C25" s="5" t="s">
        <v>12</v>
      </c>
      <c r="D25" s="5" t="s">
        <v>7</v>
      </c>
      <c r="E25" s="5" t="s">
        <v>8</v>
      </c>
      <c r="F25" s="5" t="s">
        <v>10</v>
      </c>
      <c r="G25" s="5">
        <v>38</v>
      </c>
      <c r="H25" s="5">
        <v>11</v>
      </c>
      <c r="I25" s="10">
        <f t="shared" si="4"/>
        <v>2308.8000000000002</v>
      </c>
      <c r="J25" s="5">
        <v>8</v>
      </c>
      <c r="K25" s="12">
        <v>5500000</v>
      </c>
      <c r="L25" s="6">
        <f t="shared" si="1"/>
        <v>10.4</v>
      </c>
      <c r="M25" s="5"/>
      <c r="N25" s="5"/>
      <c r="O25" s="13">
        <v>74</v>
      </c>
      <c r="P25" s="7">
        <v>3</v>
      </c>
    </row>
    <row r="26" spans="1:16" x14ac:dyDescent="0.3">
      <c r="A26" s="4" t="s">
        <v>14</v>
      </c>
      <c r="B26" s="5" t="s">
        <v>16</v>
      </c>
      <c r="C26" s="5" t="s">
        <v>12</v>
      </c>
      <c r="D26" s="5" t="s">
        <v>5</v>
      </c>
      <c r="E26" s="5" t="s">
        <v>8</v>
      </c>
      <c r="F26" s="5" t="s">
        <v>11</v>
      </c>
      <c r="G26" s="5">
        <v>38</v>
      </c>
      <c r="H26" s="5">
        <v>6</v>
      </c>
      <c r="I26" s="10">
        <f t="shared" si="4"/>
        <v>1684.8000000000002</v>
      </c>
      <c r="J26" s="5">
        <v>9</v>
      </c>
      <c r="K26" s="12">
        <v>5500000</v>
      </c>
      <c r="L26" s="6">
        <f t="shared" si="1"/>
        <v>11.700000000000001</v>
      </c>
      <c r="M26" s="5"/>
      <c r="N26" s="5"/>
      <c r="O26" s="13">
        <v>48</v>
      </c>
      <c r="P26" s="7">
        <v>3</v>
      </c>
    </row>
    <row r="27" spans="1:16" x14ac:dyDescent="0.3">
      <c r="A27" s="4" t="s">
        <v>14</v>
      </c>
      <c r="B27" s="5" t="s">
        <v>16</v>
      </c>
      <c r="C27" s="5" t="s">
        <v>12</v>
      </c>
      <c r="D27" s="5" t="s">
        <v>6</v>
      </c>
      <c r="E27" s="5" t="s">
        <v>8</v>
      </c>
      <c r="F27" s="5" t="s">
        <v>11</v>
      </c>
      <c r="G27" s="5">
        <v>38</v>
      </c>
      <c r="H27" s="5">
        <v>6</v>
      </c>
      <c r="I27" s="10">
        <f t="shared" si="4"/>
        <v>1747.1999999999998</v>
      </c>
      <c r="J27" s="5">
        <v>7</v>
      </c>
      <c r="K27" s="12">
        <v>5500000</v>
      </c>
      <c r="L27" s="6">
        <f t="shared" si="1"/>
        <v>9.1</v>
      </c>
      <c r="M27" s="5"/>
      <c r="N27" s="5"/>
      <c r="O27" s="13">
        <v>64</v>
      </c>
      <c r="P27" s="7">
        <v>3</v>
      </c>
    </row>
    <row r="28" spans="1:16" x14ac:dyDescent="0.3">
      <c r="A28" s="4" t="s">
        <v>14</v>
      </c>
      <c r="B28" s="5" t="s">
        <v>16</v>
      </c>
      <c r="C28" s="5" t="s">
        <v>12</v>
      </c>
      <c r="D28" s="5" t="s">
        <v>7</v>
      </c>
      <c r="E28" s="5" t="s">
        <v>8</v>
      </c>
      <c r="F28" s="5" t="s">
        <v>11</v>
      </c>
      <c r="G28" s="5">
        <v>38</v>
      </c>
      <c r="H28" s="5">
        <v>11</v>
      </c>
      <c r="I28" s="10">
        <f t="shared" si="4"/>
        <v>1809.6000000000001</v>
      </c>
      <c r="J28" s="5">
        <v>8</v>
      </c>
      <c r="K28" s="12">
        <v>5500000</v>
      </c>
      <c r="L28" s="6">
        <f t="shared" si="1"/>
        <v>10.4</v>
      </c>
      <c r="M28" s="5"/>
      <c r="N28" s="5"/>
      <c r="O28" s="13">
        <v>58</v>
      </c>
      <c r="P28" s="7">
        <v>3</v>
      </c>
    </row>
    <row r="29" spans="1:16" x14ac:dyDescent="0.3">
      <c r="A29" s="4" t="s">
        <v>14</v>
      </c>
      <c r="B29" s="5" t="s">
        <v>16</v>
      </c>
      <c r="C29" s="5" t="s">
        <v>13</v>
      </c>
      <c r="D29" s="5" t="s">
        <v>5</v>
      </c>
      <c r="E29" s="5" t="s">
        <v>8</v>
      </c>
      <c r="F29" s="5" t="s">
        <v>9</v>
      </c>
      <c r="G29" s="5">
        <v>56</v>
      </c>
      <c r="H29" s="5">
        <v>9</v>
      </c>
      <c r="I29" s="10">
        <f t="shared" si="0"/>
        <v>41083.9</v>
      </c>
      <c r="J29" s="5">
        <v>11</v>
      </c>
      <c r="K29" s="12">
        <v>5500000</v>
      </c>
      <c r="L29" s="6">
        <f t="shared" si="1"/>
        <v>14.3</v>
      </c>
      <c r="M29" s="5"/>
      <c r="N29" s="5"/>
      <c r="O29" s="13">
        <v>2873</v>
      </c>
      <c r="P29" s="7"/>
    </row>
    <row r="30" spans="1:16" x14ac:dyDescent="0.3">
      <c r="A30" s="4" t="s">
        <v>14</v>
      </c>
      <c r="B30" s="5" t="s">
        <v>16</v>
      </c>
      <c r="C30" s="5" t="s">
        <v>13</v>
      </c>
      <c r="D30" s="5" t="s">
        <v>6</v>
      </c>
      <c r="E30" s="5" t="s">
        <v>8</v>
      </c>
      <c r="F30" s="5" t="s">
        <v>9</v>
      </c>
      <c r="G30" s="5">
        <v>56</v>
      </c>
      <c r="H30" s="5">
        <v>1</v>
      </c>
      <c r="I30" s="10">
        <f t="shared" si="0"/>
        <v>37783.199999999997</v>
      </c>
      <c r="J30" s="5">
        <v>14</v>
      </c>
      <c r="K30" s="12">
        <v>5500000</v>
      </c>
      <c r="L30" s="6">
        <f t="shared" si="1"/>
        <v>18.2</v>
      </c>
      <c r="M30" s="5"/>
      <c r="N30" s="5"/>
      <c r="O30" s="13">
        <v>2076</v>
      </c>
      <c r="P30" s="7"/>
    </row>
    <row r="31" spans="1:16" x14ac:dyDescent="0.3">
      <c r="A31" s="4" t="s">
        <v>14</v>
      </c>
      <c r="B31" s="5" t="s">
        <v>16</v>
      </c>
      <c r="C31" s="5" t="s">
        <v>13</v>
      </c>
      <c r="D31" s="5" t="s">
        <v>7</v>
      </c>
      <c r="E31" s="5" t="s">
        <v>8</v>
      </c>
      <c r="F31" s="5" t="s">
        <v>9</v>
      </c>
      <c r="G31" s="5">
        <v>56</v>
      </c>
      <c r="H31" s="5">
        <v>9</v>
      </c>
      <c r="I31" s="10">
        <f t="shared" si="0"/>
        <v>26000</v>
      </c>
      <c r="J31" s="5">
        <v>10</v>
      </c>
      <c r="K31" s="12">
        <v>5500000</v>
      </c>
      <c r="L31" s="6">
        <f t="shared" si="1"/>
        <v>13</v>
      </c>
      <c r="M31" s="5"/>
      <c r="N31" s="5"/>
      <c r="O31" s="13">
        <v>2000</v>
      </c>
      <c r="P31" s="7"/>
    </row>
    <row r="32" spans="1:16" x14ac:dyDescent="0.3">
      <c r="A32" s="4" t="s">
        <v>14</v>
      </c>
      <c r="B32" s="5" t="s">
        <v>16</v>
      </c>
      <c r="C32" s="5" t="s">
        <v>13</v>
      </c>
      <c r="D32" s="5" t="s">
        <v>5</v>
      </c>
      <c r="E32" s="5" t="s">
        <v>8</v>
      </c>
      <c r="F32" s="5" t="s">
        <v>10</v>
      </c>
      <c r="G32" s="5">
        <v>56</v>
      </c>
      <c r="H32" s="5">
        <v>9</v>
      </c>
      <c r="I32" s="10">
        <f t="shared" ref="I32:I37" si="5">L32*O32*P32</f>
        <v>3346.2000000000003</v>
      </c>
      <c r="J32" s="5">
        <v>11</v>
      </c>
      <c r="K32" s="12">
        <v>5500000</v>
      </c>
      <c r="L32" s="6">
        <f t="shared" si="1"/>
        <v>14.3</v>
      </c>
      <c r="M32" s="5"/>
      <c r="N32" s="5"/>
      <c r="O32" s="13">
        <v>78</v>
      </c>
      <c r="P32" s="7">
        <v>3</v>
      </c>
    </row>
    <row r="33" spans="1:16" x14ac:dyDescent="0.3">
      <c r="A33" s="4" t="s">
        <v>14</v>
      </c>
      <c r="B33" s="5" t="s">
        <v>16</v>
      </c>
      <c r="C33" s="5" t="s">
        <v>13</v>
      </c>
      <c r="D33" s="5" t="s">
        <v>6</v>
      </c>
      <c r="E33" s="5" t="s">
        <v>8</v>
      </c>
      <c r="F33" s="5" t="s">
        <v>10</v>
      </c>
      <c r="G33" s="5">
        <v>56</v>
      </c>
      <c r="H33" s="5">
        <v>1</v>
      </c>
      <c r="I33" s="10">
        <f t="shared" si="5"/>
        <v>4586.3999999999996</v>
      </c>
      <c r="J33" s="5">
        <v>14</v>
      </c>
      <c r="K33" s="12">
        <v>5500000</v>
      </c>
      <c r="L33" s="6">
        <f t="shared" si="1"/>
        <v>18.2</v>
      </c>
      <c r="M33" s="5"/>
      <c r="N33" s="5"/>
      <c r="O33" s="13">
        <v>84</v>
      </c>
      <c r="P33" s="7">
        <v>3</v>
      </c>
    </row>
    <row r="34" spans="1:16" x14ac:dyDescent="0.3">
      <c r="A34" s="4" t="s">
        <v>14</v>
      </c>
      <c r="B34" s="5" t="s">
        <v>16</v>
      </c>
      <c r="C34" s="5" t="s">
        <v>13</v>
      </c>
      <c r="D34" s="5" t="s">
        <v>7</v>
      </c>
      <c r="E34" s="5" t="s">
        <v>8</v>
      </c>
      <c r="F34" s="5" t="s">
        <v>10</v>
      </c>
      <c r="G34" s="5">
        <v>56</v>
      </c>
      <c r="H34" s="5">
        <v>9</v>
      </c>
      <c r="I34" s="10">
        <f t="shared" si="5"/>
        <v>3081</v>
      </c>
      <c r="J34" s="5">
        <v>10</v>
      </c>
      <c r="K34" s="12">
        <v>5500000</v>
      </c>
      <c r="L34" s="6">
        <f t="shared" si="1"/>
        <v>13</v>
      </c>
      <c r="M34" s="5"/>
      <c r="N34" s="5"/>
      <c r="O34" s="13">
        <v>79</v>
      </c>
      <c r="P34" s="7">
        <v>3</v>
      </c>
    </row>
    <row r="35" spans="1:16" x14ac:dyDescent="0.3">
      <c r="A35" s="4" t="s">
        <v>14</v>
      </c>
      <c r="B35" s="5" t="s">
        <v>16</v>
      </c>
      <c r="C35" s="5" t="s">
        <v>13</v>
      </c>
      <c r="D35" s="5" t="s">
        <v>5</v>
      </c>
      <c r="E35" s="5" t="s">
        <v>8</v>
      </c>
      <c r="F35" s="5" t="s">
        <v>11</v>
      </c>
      <c r="G35" s="5">
        <v>56</v>
      </c>
      <c r="H35" s="5">
        <v>9</v>
      </c>
      <c r="I35" s="10">
        <f t="shared" si="5"/>
        <v>2659.8</v>
      </c>
      <c r="J35" s="5">
        <v>11</v>
      </c>
      <c r="K35" s="12">
        <v>5500000</v>
      </c>
      <c r="L35" s="6">
        <f t="shared" si="1"/>
        <v>14.3</v>
      </c>
      <c r="M35" s="5"/>
      <c r="N35" s="5"/>
      <c r="O35" s="13">
        <v>62</v>
      </c>
      <c r="P35" s="7">
        <v>3</v>
      </c>
    </row>
    <row r="36" spans="1:16" x14ac:dyDescent="0.3">
      <c r="A36" s="4" t="s">
        <v>14</v>
      </c>
      <c r="B36" s="5" t="s">
        <v>16</v>
      </c>
      <c r="C36" s="5" t="s">
        <v>13</v>
      </c>
      <c r="D36" s="5" t="s">
        <v>6</v>
      </c>
      <c r="E36" s="5" t="s">
        <v>8</v>
      </c>
      <c r="F36" s="5" t="s">
        <v>11</v>
      </c>
      <c r="G36" s="5">
        <v>56</v>
      </c>
      <c r="H36" s="5">
        <v>1</v>
      </c>
      <c r="I36" s="10">
        <f t="shared" si="5"/>
        <v>3166.7999999999997</v>
      </c>
      <c r="J36" s="5">
        <v>14</v>
      </c>
      <c r="K36" s="12">
        <v>5500000</v>
      </c>
      <c r="L36" s="6">
        <f t="shared" si="1"/>
        <v>18.2</v>
      </c>
      <c r="M36" s="5"/>
      <c r="N36" s="5"/>
      <c r="O36" s="13">
        <v>58</v>
      </c>
      <c r="P36" s="7">
        <v>3</v>
      </c>
    </row>
    <row r="37" spans="1:16" x14ac:dyDescent="0.3">
      <c r="A37" s="4" t="s">
        <v>14</v>
      </c>
      <c r="B37" s="5" t="s">
        <v>16</v>
      </c>
      <c r="C37" s="5" t="s">
        <v>13</v>
      </c>
      <c r="D37" s="5" t="s">
        <v>7</v>
      </c>
      <c r="E37" s="5" t="s">
        <v>8</v>
      </c>
      <c r="F37" s="5" t="s">
        <v>11</v>
      </c>
      <c r="G37" s="5">
        <v>56</v>
      </c>
      <c r="H37" s="5">
        <v>9</v>
      </c>
      <c r="I37" s="10">
        <f t="shared" si="5"/>
        <v>2340</v>
      </c>
      <c r="J37" s="5">
        <v>10</v>
      </c>
      <c r="K37" s="12">
        <v>5500000</v>
      </c>
      <c r="L37" s="6">
        <f t="shared" si="1"/>
        <v>13</v>
      </c>
      <c r="M37" s="5"/>
      <c r="N37" s="5"/>
      <c r="O37" s="13">
        <v>60</v>
      </c>
      <c r="P37" s="7">
        <v>3</v>
      </c>
    </row>
    <row r="38" spans="1:16" x14ac:dyDescent="0.3">
      <c r="A38" s="4" t="s">
        <v>14</v>
      </c>
      <c r="B38" s="5" t="s">
        <v>17</v>
      </c>
      <c r="C38" s="5" t="s">
        <v>31</v>
      </c>
      <c r="D38" s="5" t="s">
        <v>5</v>
      </c>
      <c r="E38" s="5" t="s">
        <v>8</v>
      </c>
      <c r="F38" s="5" t="s">
        <v>9</v>
      </c>
      <c r="G38" s="5">
        <v>89</v>
      </c>
      <c r="H38" s="5">
        <v>5</v>
      </c>
      <c r="I38" s="10">
        <f t="shared" si="0"/>
        <v>56828.200000000004</v>
      </c>
      <c r="J38" s="5">
        <v>22</v>
      </c>
      <c r="K38" s="12">
        <v>6500000</v>
      </c>
      <c r="L38" s="6">
        <f t="shared" si="1"/>
        <v>28.6</v>
      </c>
      <c r="M38" s="5"/>
      <c r="N38" s="5"/>
      <c r="O38" s="13">
        <v>1987</v>
      </c>
      <c r="P38" s="7"/>
    </row>
    <row r="39" spans="1:16" x14ac:dyDescent="0.3">
      <c r="A39" s="4" t="s">
        <v>14</v>
      </c>
      <c r="B39" s="5" t="s">
        <v>17</v>
      </c>
      <c r="C39" s="5" t="s">
        <v>31</v>
      </c>
      <c r="D39" s="5" t="s">
        <v>6</v>
      </c>
      <c r="E39" s="5" t="s">
        <v>8</v>
      </c>
      <c r="F39" s="5" t="s">
        <v>9</v>
      </c>
      <c r="G39" s="5">
        <v>89</v>
      </c>
      <c r="H39" s="5">
        <v>5</v>
      </c>
      <c r="I39" s="10">
        <f t="shared" si="0"/>
        <v>71555.899999999994</v>
      </c>
      <c r="J39" s="5">
        <v>19</v>
      </c>
      <c r="K39" s="12">
        <v>6500000</v>
      </c>
      <c r="L39" s="6">
        <f t="shared" si="1"/>
        <v>24.7</v>
      </c>
      <c r="M39" s="5"/>
      <c r="N39" s="5"/>
      <c r="O39" s="13">
        <v>2897</v>
      </c>
      <c r="P39" s="7"/>
    </row>
    <row r="40" spans="1:16" x14ac:dyDescent="0.3">
      <c r="A40" s="4" t="s">
        <v>14</v>
      </c>
      <c r="B40" s="5" t="s">
        <v>17</v>
      </c>
      <c r="C40" s="5" t="s">
        <v>31</v>
      </c>
      <c r="D40" s="5" t="s">
        <v>7</v>
      </c>
      <c r="E40" s="5" t="s">
        <v>8</v>
      </c>
      <c r="F40" s="5" t="s">
        <v>9</v>
      </c>
      <c r="G40" s="5">
        <v>89</v>
      </c>
      <c r="H40" s="5">
        <v>10</v>
      </c>
      <c r="I40" s="10">
        <f t="shared" si="0"/>
        <v>46436</v>
      </c>
      <c r="J40" s="5">
        <v>20</v>
      </c>
      <c r="K40" s="12">
        <v>6500000</v>
      </c>
      <c r="L40" s="6">
        <f t="shared" si="1"/>
        <v>26</v>
      </c>
      <c r="M40" s="5"/>
      <c r="N40" s="5"/>
      <c r="O40" s="13">
        <v>1786</v>
      </c>
      <c r="P40" s="7"/>
    </row>
    <row r="41" spans="1:16" x14ac:dyDescent="0.3">
      <c r="A41" s="4" t="s">
        <v>14</v>
      </c>
      <c r="B41" s="5" t="s">
        <v>17</v>
      </c>
      <c r="C41" s="5" t="s">
        <v>31</v>
      </c>
      <c r="D41" s="5" t="s">
        <v>5</v>
      </c>
      <c r="E41" s="5" t="s">
        <v>8</v>
      </c>
      <c r="F41" s="5" t="s">
        <v>10</v>
      </c>
      <c r="G41" s="5">
        <v>89</v>
      </c>
      <c r="H41" s="5">
        <v>5</v>
      </c>
      <c r="I41" s="10">
        <f t="shared" ref="I41:I46" si="6">L41*O41*P41</f>
        <v>7207.2000000000007</v>
      </c>
      <c r="J41" s="5">
        <v>22</v>
      </c>
      <c r="K41" s="12">
        <v>6500000</v>
      </c>
      <c r="L41" s="6">
        <f t="shared" si="1"/>
        <v>28.6</v>
      </c>
      <c r="M41" s="5"/>
      <c r="N41" s="5"/>
      <c r="O41" s="13">
        <v>84</v>
      </c>
      <c r="P41" s="7">
        <v>3</v>
      </c>
    </row>
    <row r="42" spans="1:16" x14ac:dyDescent="0.3">
      <c r="A42" s="4" t="s">
        <v>14</v>
      </c>
      <c r="B42" s="5" t="s">
        <v>17</v>
      </c>
      <c r="C42" s="5" t="s">
        <v>31</v>
      </c>
      <c r="D42" s="5" t="s">
        <v>6</v>
      </c>
      <c r="E42" s="5" t="s">
        <v>8</v>
      </c>
      <c r="F42" s="5" t="s">
        <v>10</v>
      </c>
      <c r="G42" s="5">
        <v>89</v>
      </c>
      <c r="H42" s="5">
        <v>5</v>
      </c>
      <c r="I42" s="10">
        <f t="shared" si="6"/>
        <v>5928</v>
      </c>
      <c r="J42" s="5">
        <v>19</v>
      </c>
      <c r="K42" s="12">
        <v>6500000</v>
      </c>
      <c r="L42" s="6">
        <f t="shared" si="1"/>
        <v>24.7</v>
      </c>
      <c r="M42" s="5"/>
      <c r="N42" s="5"/>
      <c r="O42" s="13">
        <v>80</v>
      </c>
      <c r="P42" s="7">
        <v>3</v>
      </c>
    </row>
    <row r="43" spans="1:16" x14ac:dyDescent="0.3">
      <c r="A43" s="4" t="s">
        <v>14</v>
      </c>
      <c r="B43" s="5" t="s">
        <v>17</v>
      </c>
      <c r="C43" s="5" t="s">
        <v>31</v>
      </c>
      <c r="D43" s="5" t="s">
        <v>7</v>
      </c>
      <c r="E43" s="5" t="s">
        <v>8</v>
      </c>
      <c r="F43" s="5" t="s">
        <v>10</v>
      </c>
      <c r="G43" s="5">
        <v>89</v>
      </c>
      <c r="H43" s="5">
        <v>10</v>
      </c>
      <c r="I43" s="10">
        <f t="shared" si="6"/>
        <v>5460</v>
      </c>
      <c r="J43" s="5">
        <v>20</v>
      </c>
      <c r="K43" s="12">
        <v>6500000</v>
      </c>
      <c r="L43" s="6">
        <f t="shared" si="1"/>
        <v>26</v>
      </c>
      <c r="M43" s="5"/>
      <c r="N43" s="5"/>
      <c r="O43" s="13">
        <v>70</v>
      </c>
      <c r="P43" s="7">
        <v>3</v>
      </c>
    </row>
    <row r="44" spans="1:16" x14ac:dyDescent="0.3">
      <c r="A44" s="4" t="s">
        <v>14</v>
      </c>
      <c r="B44" s="5" t="s">
        <v>17</v>
      </c>
      <c r="C44" s="5" t="s">
        <v>31</v>
      </c>
      <c r="D44" s="5" t="s">
        <v>5</v>
      </c>
      <c r="E44" s="5" t="s">
        <v>8</v>
      </c>
      <c r="F44" s="5" t="s">
        <v>11</v>
      </c>
      <c r="G44" s="5">
        <v>89</v>
      </c>
      <c r="H44" s="5">
        <v>5</v>
      </c>
      <c r="I44" s="10">
        <f t="shared" si="6"/>
        <v>4976.4000000000005</v>
      </c>
      <c r="J44" s="5">
        <v>22</v>
      </c>
      <c r="K44" s="12">
        <v>6500000</v>
      </c>
      <c r="L44" s="6">
        <f t="shared" si="1"/>
        <v>28.6</v>
      </c>
      <c r="M44" s="5"/>
      <c r="N44" s="5"/>
      <c r="O44" s="13">
        <v>58</v>
      </c>
      <c r="P44" s="7">
        <v>3</v>
      </c>
    </row>
    <row r="45" spans="1:16" x14ac:dyDescent="0.3">
      <c r="A45" s="4" t="s">
        <v>14</v>
      </c>
      <c r="B45" s="5" t="s">
        <v>17</v>
      </c>
      <c r="C45" s="5" t="s">
        <v>31</v>
      </c>
      <c r="D45" s="5" t="s">
        <v>6</v>
      </c>
      <c r="E45" s="5" t="s">
        <v>8</v>
      </c>
      <c r="F45" s="5" t="s">
        <v>11</v>
      </c>
      <c r="G45" s="5">
        <v>89</v>
      </c>
      <c r="H45" s="5">
        <v>5</v>
      </c>
      <c r="I45" s="10">
        <f t="shared" si="6"/>
        <v>4742.3999999999996</v>
      </c>
      <c r="J45" s="5">
        <v>19</v>
      </c>
      <c r="K45" s="12">
        <v>6500000</v>
      </c>
      <c r="L45" s="6">
        <f t="shared" si="1"/>
        <v>24.7</v>
      </c>
      <c r="M45" s="5"/>
      <c r="N45" s="5"/>
      <c r="O45" s="13">
        <v>64</v>
      </c>
      <c r="P45" s="7">
        <v>3</v>
      </c>
    </row>
    <row r="46" spans="1:16" x14ac:dyDescent="0.3">
      <c r="A46" s="4" t="s">
        <v>14</v>
      </c>
      <c r="B46" s="5" t="s">
        <v>17</v>
      </c>
      <c r="C46" s="5" t="s">
        <v>31</v>
      </c>
      <c r="D46" s="5" t="s">
        <v>7</v>
      </c>
      <c r="E46" s="5" t="s">
        <v>8</v>
      </c>
      <c r="F46" s="5" t="s">
        <v>11</v>
      </c>
      <c r="G46" s="5">
        <v>89</v>
      </c>
      <c r="H46" s="5">
        <v>10</v>
      </c>
      <c r="I46" s="10">
        <f t="shared" si="6"/>
        <v>2184</v>
      </c>
      <c r="J46" s="5">
        <v>20</v>
      </c>
      <c r="K46" s="12">
        <v>6500000</v>
      </c>
      <c r="L46" s="6">
        <f t="shared" si="1"/>
        <v>26</v>
      </c>
      <c r="M46" s="5"/>
      <c r="N46" s="5"/>
      <c r="O46" s="13">
        <v>28</v>
      </c>
      <c r="P46" s="7">
        <v>3</v>
      </c>
    </row>
    <row r="47" spans="1:16" x14ac:dyDescent="0.3">
      <c r="A47" s="4" t="s">
        <v>14</v>
      </c>
      <c r="B47" s="5" t="s">
        <v>17</v>
      </c>
      <c r="C47" s="5" t="s">
        <v>27</v>
      </c>
      <c r="D47" s="5" t="s">
        <v>5</v>
      </c>
      <c r="E47" s="5" t="s">
        <v>8</v>
      </c>
      <c r="F47" s="5" t="s">
        <v>9</v>
      </c>
      <c r="G47" s="5">
        <v>49</v>
      </c>
      <c r="H47" s="5">
        <v>12</v>
      </c>
      <c r="I47" s="10">
        <f t="shared" si="0"/>
        <v>43644.9</v>
      </c>
      <c r="J47" s="5">
        <v>19</v>
      </c>
      <c r="K47" s="12">
        <v>6500000</v>
      </c>
      <c r="L47" s="6">
        <f t="shared" si="1"/>
        <v>24.7</v>
      </c>
      <c r="M47" s="5"/>
      <c r="N47" s="5"/>
      <c r="O47" s="13">
        <v>1767</v>
      </c>
      <c r="P47" s="7"/>
    </row>
    <row r="48" spans="1:16" x14ac:dyDescent="0.3">
      <c r="A48" s="4" t="s">
        <v>14</v>
      </c>
      <c r="B48" s="5" t="s">
        <v>17</v>
      </c>
      <c r="C48" s="5" t="s">
        <v>27</v>
      </c>
      <c r="D48" s="5" t="s">
        <v>6</v>
      </c>
      <c r="E48" s="5" t="s">
        <v>8</v>
      </c>
      <c r="F48" s="5" t="s">
        <v>9</v>
      </c>
      <c r="G48" s="5">
        <v>49</v>
      </c>
      <c r="H48" s="5">
        <v>2</v>
      </c>
      <c r="I48" s="10">
        <f t="shared" si="0"/>
        <v>41329.599999999999</v>
      </c>
      <c r="J48" s="5">
        <v>16</v>
      </c>
      <c r="K48" s="12">
        <v>6500000</v>
      </c>
      <c r="L48" s="6">
        <f t="shared" si="1"/>
        <v>20.8</v>
      </c>
      <c r="M48" s="5"/>
      <c r="N48" s="5"/>
      <c r="O48" s="13">
        <v>1987</v>
      </c>
      <c r="P48" s="7"/>
    </row>
    <row r="49" spans="1:16" x14ac:dyDescent="0.3">
      <c r="A49" s="4" t="s">
        <v>14</v>
      </c>
      <c r="B49" s="5" t="s">
        <v>17</v>
      </c>
      <c r="C49" s="5" t="s">
        <v>27</v>
      </c>
      <c r="D49" s="5" t="s">
        <v>7</v>
      </c>
      <c r="E49" s="5" t="s">
        <v>8</v>
      </c>
      <c r="F49" s="5" t="s">
        <v>9</v>
      </c>
      <c r="G49" s="5">
        <v>49</v>
      </c>
      <c r="H49" s="5">
        <v>12</v>
      </c>
      <c r="I49" s="10">
        <f t="shared" si="0"/>
        <v>49647</v>
      </c>
      <c r="J49" s="5">
        <v>19</v>
      </c>
      <c r="K49" s="12">
        <v>6500000</v>
      </c>
      <c r="L49" s="6">
        <f t="shared" si="1"/>
        <v>24.7</v>
      </c>
      <c r="M49" s="5"/>
      <c r="N49" s="5"/>
      <c r="O49" s="13">
        <v>2010</v>
      </c>
      <c r="P49" s="7"/>
    </row>
    <row r="50" spans="1:16" x14ac:dyDescent="0.3">
      <c r="A50" s="4" t="s">
        <v>14</v>
      </c>
      <c r="B50" s="5" t="s">
        <v>17</v>
      </c>
      <c r="C50" s="5" t="s">
        <v>27</v>
      </c>
      <c r="D50" s="5" t="s">
        <v>5</v>
      </c>
      <c r="E50" s="5" t="s">
        <v>8</v>
      </c>
      <c r="F50" s="5" t="s">
        <v>10</v>
      </c>
      <c r="G50" s="5">
        <v>49</v>
      </c>
      <c r="H50" s="5">
        <v>2</v>
      </c>
      <c r="I50" s="10">
        <f t="shared" ref="I50:I55" si="7">L50*O50*P50</f>
        <v>5631.6</v>
      </c>
      <c r="J50" s="5">
        <v>19</v>
      </c>
      <c r="K50" s="12">
        <v>6500000</v>
      </c>
      <c r="L50" s="6">
        <f t="shared" si="1"/>
        <v>24.7</v>
      </c>
      <c r="M50" s="5"/>
      <c r="N50" s="5"/>
      <c r="O50" s="13">
        <v>76</v>
      </c>
      <c r="P50" s="7">
        <v>3</v>
      </c>
    </row>
    <row r="51" spans="1:16" x14ac:dyDescent="0.3">
      <c r="A51" s="4" t="s">
        <v>14</v>
      </c>
      <c r="B51" s="5" t="s">
        <v>17</v>
      </c>
      <c r="C51" s="5" t="s">
        <v>27</v>
      </c>
      <c r="D51" s="5" t="s">
        <v>6</v>
      </c>
      <c r="E51" s="5" t="s">
        <v>8</v>
      </c>
      <c r="F51" s="5" t="s">
        <v>10</v>
      </c>
      <c r="G51" s="5">
        <v>49</v>
      </c>
      <c r="H51" s="5">
        <v>2</v>
      </c>
      <c r="I51" s="10">
        <f t="shared" si="7"/>
        <v>4430.3999999999996</v>
      </c>
      <c r="J51" s="5">
        <v>16</v>
      </c>
      <c r="K51" s="12">
        <v>6500000</v>
      </c>
      <c r="L51" s="6">
        <f t="shared" si="1"/>
        <v>20.8</v>
      </c>
      <c r="M51" s="5"/>
      <c r="N51" s="5"/>
      <c r="O51" s="13">
        <v>71</v>
      </c>
      <c r="P51" s="7">
        <v>3</v>
      </c>
    </row>
    <row r="52" spans="1:16" x14ac:dyDescent="0.3">
      <c r="A52" s="4" t="s">
        <v>14</v>
      </c>
      <c r="B52" s="5" t="s">
        <v>17</v>
      </c>
      <c r="C52" s="5" t="s">
        <v>27</v>
      </c>
      <c r="D52" s="5" t="s">
        <v>7</v>
      </c>
      <c r="E52" s="5" t="s">
        <v>8</v>
      </c>
      <c r="F52" s="5" t="s">
        <v>10</v>
      </c>
      <c r="G52" s="5">
        <v>49</v>
      </c>
      <c r="H52" s="5">
        <v>12</v>
      </c>
      <c r="I52" s="10">
        <f t="shared" si="7"/>
        <v>4890.6000000000004</v>
      </c>
      <c r="J52" s="5">
        <v>19</v>
      </c>
      <c r="K52" s="12">
        <v>6500000</v>
      </c>
      <c r="L52" s="6">
        <f t="shared" si="1"/>
        <v>24.7</v>
      </c>
      <c r="M52" s="5"/>
      <c r="N52" s="5"/>
      <c r="O52" s="13">
        <v>66</v>
      </c>
      <c r="P52" s="7">
        <v>3</v>
      </c>
    </row>
    <row r="53" spans="1:16" x14ac:dyDescent="0.3">
      <c r="A53" s="4" t="s">
        <v>14</v>
      </c>
      <c r="B53" s="5" t="s">
        <v>17</v>
      </c>
      <c r="C53" s="5" t="s">
        <v>27</v>
      </c>
      <c r="D53" s="5" t="s">
        <v>5</v>
      </c>
      <c r="E53" s="5" t="s">
        <v>8</v>
      </c>
      <c r="F53" s="5" t="s">
        <v>11</v>
      </c>
      <c r="G53" s="5">
        <v>49</v>
      </c>
      <c r="H53" s="5">
        <v>2</v>
      </c>
      <c r="I53" s="10">
        <f t="shared" si="7"/>
        <v>2519.3999999999996</v>
      </c>
      <c r="J53" s="5">
        <v>19</v>
      </c>
      <c r="K53" s="12">
        <v>6500000</v>
      </c>
      <c r="L53" s="6">
        <f t="shared" si="1"/>
        <v>24.7</v>
      </c>
      <c r="M53" s="5"/>
      <c r="N53" s="5"/>
      <c r="O53" s="13">
        <v>34</v>
      </c>
      <c r="P53" s="7">
        <v>3</v>
      </c>
    </row>
    <row r="54" spans="1:16" x14ac:dyDescent="0.3">
      <c r="A54" s="4" t="s">
        <v>14</v>
      </c>
      <c r="B54" s="5" t="s">
        <v>17</v>
      </c>
      <c r="C54" s="5" t="s">
        <v>27</v>
      </c>
      <c r="D54" s="5" t="s">
        <v>6</v>
      </c>
      <c r="E54" s="5" t="s">
        <v>8</v>
      </c>
      <c r="F54" s="5" t="s">
        <v>11</v>
      </c>
      <c r="G54" s="5">
        <v>49</v>
      </c>
      <c r="H54" s="5">
        <v>2</v>
      </c>
      <c r="I54" s="10">
        <f t="shared" si="7"/>
        <v>3619.2000000000003</v>
      </c>
      <c r="J54" s="5">
        <v>16</v>
      </c>
      <c r="K54" s="12">
        <v>6500000</v>
      </c>
      <c r="L54" s="6">
        <f t="shared" si="1"/>
        <v>20.8</v>
      </c>
      <c r="M54" s="5"/>
      <c r="N54" s="5"/>
      <c r="O54" s="13">
        <v>58</v>
      </c>
      <c r="P54" s="7">
        <v>3</v>
      </c>
    </row>
    <row r="55" spans="1:16" x14ac:dyDescent="0.3">
      <c r="A55" s="4" t="s">
        <v>14</v>
      </c>
      <c r="B55" s="5" t="s">
        <v>17</v>
      </c>
      <c r="C55" s="5" t="s">
        <v>27</v>
      </c>
      <c r="D55" s="5" t="s">
        <v>7</v>
      </c>
      <c r="E55" s="5" t="s">
        <v>8</v>
      </c>
      <c r="F55" s="5" t="s">
        <v>11</v>
      </c>
      <c r="G55" s="5">
        <v>49</v>
      </c>
      <c r="H55" s="5">
        <v>12</v>
      </c>
      <c r="I55" s="10">
        <f t="shared" si="7"/>
        <v>2223</v>
      </c>
      <c r="J55" s="5">
        <v>19</v>
      </c>
      <c r="K55" s="12">
        <v>6500000</v>
      </c>
      <c r="L55" s="6">
        <f t="shared" si="1"/>
        <v>24.7</v>
      </c>
      <c r="M55" s="5"/>
      <c r="N55" s="5"/>
      <c r="O55" s="13">
        <v>30</v>
      </c>
      <c r="P55" s="7">
        <v>3</v>
      </c>
    </row>
    <row r="56" spans="1:16" x14ac:dyDescent="0.3">
      <c r="A56" s="4" t="s">
        <v>14</v>
      </c>
      <c r="B56" s="5" t="s">
        <v>18</v>
      </c>
      <c r="C56" s="5" t="s">
        <v>31</v>
      </c>
      <c r="D56" s="5" t="s">
        <v>5</v>
      </c>
      <c r="E56" s="5" t="s">
        <v>8</v>
      </c>
      <c r="F56" s="5" t="s">
        <v>9</v>
      </c>
      <c r="G56" s="5">
        <v>88</v>
      </c>
      <c r="H56" s="5">
        <v>7</v>
      </c>
      <c r="I56" s="10">
        <f t="shared" si="0"/>
        <v>33580.300000000003</v>
      </c>
      <c r="J56" s="5">
        <v>13</v>
      </c>
      <c r="K56" s="12">
        <v>3333333.3333333302</v>
      </c>
      <c r="L56" s="6">
        <f t="shared" si="1"/>
        <v>16.900000000000002</v>
      </c>
      <c r="M56" s="5"/>
      <c r="N56" s="5"/>
      <c r="O56" s="13">
        <v>1987</v>
      </c>
      <c r="P56" s="7"/>
    </row>
    <row r="57" spans="1:16" x14ac:dyDescent="0.3">
      <c r="A57" s="4" t="s">
        <v>14</v>
      </c>
      <c r="B57" s="5" t="s">
        <v>18</v>
      </c>
      <c r="C57" s="5" t="s">
        <v>31</v>
      </c>
      <c r="D57" s="5" t="s">
        <v>6</v>
      </c>
      <c r="E57" s="5" t="s">
        <v>8</v>
      </c>
      <c r="F57" s="5" t="s">
        <v>9</v>
      </c>
      <c r="G57" s="5">
        <v>88</v>
      </c>
      <c r="H57" s="5">
        <v>7</v>
      </c>
      <c r="I57" s="10">
        <f t="shared" si="0"/>
        <v>34947.9</v>
      </c>
      <c r="J57" s="5">
        <v>9</v>
      </c>
      <c r="K57" s="12">
        <v>3333333.3333333302</v>
      </c>
      <c r="L57" s="6">
        <f t="shared" si="1"/>
        <v>11.700000000000001</v>
      </c>
      <c r="M57" s="5"/>
      <c r="N57" s="5"/>
      <c r="O57" s="13">
        <v>2987</v>
      </c>
      <c r="P57" s="7"/>
    </row>
    <row r="58" spans="1:16" x14ac:dyDescent="0.3">
      <c r="A58" s="4" t="s">
        <v>14</v>
      </c>
      <c r="B58" s="5" t="s">
        <v>18</v>
      </c>
      <c r="C58" s="5" t="s">
        <v>31</v>
      </c>
      <c r="D58" s="5" t="s">
        <v>7</v>
      </c>
      <c r="E58" s="5" t="s">
        <v>8</v>
      </c>
      <c r="F58" s="5" t="s">
        <v>9</v>
      </c>
      <c r="G58" s="5">
        <v>88</v>
      </c>
      <c r="H58" s="5">
        <v>9</v>
      </c>
      <c r="I58" s="10">
        <f t="shared" si="0"/>
        <v>39234</v>
      </c>
      <c r="J58" s="5">
        <v>15</v>
      </c>
      <c r="K58" s="12">
        <v>3333333.3333333302</v>
      </c>
      <c r="L58" s="6">
        <f t="shared" si="1"/>
        <v>19.5</v>
      </c>
      <c r="M58" s="5"/>
      <c r="N58" s="5"/>
      <c r="O58" s="13">
        <v>2012</v>
      </c>
      <c r="P58" s="7"/>
    </row>
    <row r="59" spans="1:16" x14ac:dyDescent="0.3">
      <c r="A59" s="4" t="s">
        <v>14</v>
      </c>
      <c r="B59" s="5" t="s">
        <v>18</v>
      </c>
      <c r="C59" s="5" t="s">
        <v>31</v>
      </c>
      <c r="D59" s="5" t="s">
        <v>5</v>
      </c>
      <c r="E59" s="5" t="s">
        <v>8</v>
      </c>
      <c r="F59" s="5" t="s">
        <v>10</v>
      </c>
      <c r="G59" s="5">
        <v>88</v>
      </c>
      <c r="H59" s="5">
        <v>7</v>
      </c>
      <c r="I59" s="10">
        <f t="shared" ref="I59:I64" si="8">L59*O59*P59</f>
        <v>3042.0000000000005</v>
      </c>
      <c r="J59" s="5">
        <v>13</v>
      </c>
      <c r="K59" s="12">
        <v>3333333.3333333302</v>
      </c>
      <c r="L59" s="6">
        <f t="shared" si="1"/>
        <v>16.900000000000002</v>
      </c>
      <c r="M59" s="5"/>
      <c r="N59" s="5"/>
      <c r="O59" s="13">
        <v>60</v>
      </c>
      <c r="P59" s="7">
        <v>3</v>
      </c>
    </row>
    <row r="60" spans="1:16" x14ac:dyDescent="0.3">
      <c r="A60" s="4" t="s">
        <v>14</v>
      </c>
      <c r="B60" s="5" t="s">
        <v>18</v>
      </c>
      <c r="C60" s="5" t="s">
        <v>31</v>
      </c>
      <c r="D60" s="5" t="s">
        <v>6</v>
      </c>
      <c r="E60" s="5" t="s">
        <v>8</v>
      </c>
      <c r="F60" s="5" t="s">
        <v>10</v>
      </c>
      <c r="G60" s="5">
        <v>88</v>
      </c>
      <c r="H60" s="5">
        <v>7</v>
      </c>
      <c r="I60" s="10">
        <f t="shared" si="8"/>
        <v>2421.9</v>
      </c>
      <c r="J60" s="5">
        <v>9</v>
      </c>
      <c r="K60" s="12">
        <v>3333333.3333333302</v>
      </c>
      <c r="L60" s="6">
        <f t="shared" si="1"/>
        <v>11.700000000000001</v>
      </c>
      <c r="M60" s="5"/>
      <c r="N60" s="5"/>
      <c r="O60" s="13">
        <v>69</v>
      </c>
      <c r="P60" s="7">
        <v>3</v>
      </c>
    </row>
    <row r="61" spans="1:16" x14ac:dyDescent="0.3">
      <c r="A61" s="4" t="s">
        <v>14</v>
      </c>
      <c r="B61" s="5" t="s">
        <v>18</v>
      </c>
      <c r="C61" s="5" t="s">
        <v>31</v>
      </c>
      <c r="D61" s="5" t="s">
        <v>7</v>
      </c>
      <c r="E61" s="5" t="s">
        <v>8</v>
      </c>
      <c r="F61" s="5" t="s">
        <v>10</v>
      </c>
      <c r="G61" s="5">
        <v>88</v>
      </c>
      <c r="H61" s="5">
        <v>9</v>
      </c>
      <c r="I61" s="10">
        <f t="shared" si="8"/>
        <v>3393</v>
      </c>
      <c r="J61" s="5">
        <v>15</v>
      </c>
      <c r="K61" s="12">
        <v>3333333.3333333302</v>
      </c>
      <c r="L61" s="6">
        <f t="shared" si="1"/>
        <v>19.5</v>
      </c>
      <c r="M61" s="5"/>
      <c r="N61" s="5"/>
      <c r="O61" s="13">
        <v>58</v>
      </c>
      <c r="P61" s="7">
        <v>3</v>
      </c>
    </row>
    <row r="62" spans="1:16" x14ac:dyDescent="0.3">
      <c r="A62" s="4" t="s">
        <v>14</v>
      </c>
      <c r="B62" s="5" t="s">
        <v>18</v>
      </c>
      <c r="C62" s="5" t="s">
        <v>31</v>
      </c>
      <c r="D62" s="5" t="s">
        <v>5</v>
      </c>
      <c r="E62" s="5" t="s">
        <v>8</v>
      </c>
      <c r="F62" s="5" t="s">
        <v>11</v>
      </c>
      <c r="G62" s="5">
        <v>88</v>
      </c>
      <c r="H62" s="5">
        <v>7</v>
      </c>
      <c r="I62" s="10">
        <f t="shared" si="8"/>
        <v>1926.6000000000001</v>
      </c>
      <c r="J62" s="5">
        <v>13</v>
      </c>
      <c r="K62" s="12">
        <v>3333333.3333333302</v>
      </c>
      <c r="L62" s="6">
        <f t="shared" si="1"/>
        <v>16.900000000000002</v>
      </c>
      <c r="M62" s="5"/>
      <c r="N62" s="5"/>
      <c r="O62" s="13">
        <v>38</v>
      </c>
      <c r="P62" s="7">
        <v>3</v>
      </c>
    </row>
    <row r="63" spans="1:16" x14ac:dyDescent="0.3">
      <c r="A63" s="4" t="s">
        <v>14</v>
      </c>
      <c r="B63" s="5" t="s">
        <v>18</v>
      </c>
      <c r="C63" s="5" t="s">
        <v>31</v>
      </c>
      <c r="D63" s="5" t="s">
        <v>6</v>
      </c>
      <c r="E63" s="5" t="s">
        <v>8</v>
      </c>
      <c r="F63" s="5" t="s">
        <v>11</v>
      </c>
      <c r="G63" s="5">
        <v>88</v>
      </c>
      <c r="H63" s="5">
        <v>7</v>
      </c>
      <c r="I63" s="10">
        <f t="shared" si="8"/>
        <v>1544.4</v>
      </c>
      <c r="J63" s="5">
        <v>9</v>
      </c>
      <c r="K63" s="12">
        <v>3333333.3333333302</v>
      </c>
      <c r="L63" s="6">
        <f t="shared" si="1"/>
        <v>11.700000000000001</v>
      </c>
      <c r="M63" s="5"/>
      <c r="N63" s="5"/>
      <c r="O63" s="13">
        <v>44</v>
      </c>
      <c r="P63" s="7">
        <v>3</v>
      </c>
    </row>
    <row r="64" spans="1:16" x14ac:dyDescent="0.3">
      <c r="A64" s="4" t="s">
        <v>14</v>
      </c>
      <c r="B64" s="5" t="s">
        <v>18</v>
      </c>
      <c r="C64" s="5" t="s">
        <v>31</v>
      </c>
      <c r="D64" s="5" t="s">
        <v>7</v>
      </c>
      <c r="E64" s="5" t="s">
        <v>8</v>
      </c>
      <c r="F64" s="5" t="s">
        <v>11</v>
      </c>
      <c r="G64" s="5">
        <v>88</v>
      </c>
      <c r="H64" s="5">
        <v>9</v>
      </c>
      <c r="I64" s="10">
        <f t="shared" si="8"/>
        <v>2223</v>
      </c>
      <c r="J64" s="5">
        <v>15</v>
      </c>
      <c r="K64" s="12">
        <v>3333333.3333333302</v>
      </c>
      <c r="L64" s="6">
        <f t="shared" si="1"/>
        <v>19.5</v>
      </c>
      <c r="M64" s="5"/>
      <c r="N64" s="5"/>
      <c r="O64" s="13">
        <v>38</v>
      </c>
      <c r="P64" s="7">
        <v>3</v>
      </c>
    </row>
    <row r="65" spans="1:16" x14ac:dyDescent="0.3">
      <c r="A65" s="4" t="s">
        <v>14</v>
      </c>
      <c r="B65" s="5" t="s">
        <v>18</v>
      </c>
      <c r="C65" s="5" t="s">
        <v>13</v>
      </c>
      <c r="D65" s="5" t="s">
        <v>5</v>
      </c>
      <c r="E65" s="5" t="s">
        <v>8</v>
      </c>
      <c r="F65" s="5" t="s">
        <v>9</v>
      </c>
      <c r="G65" s="5">
        <v>34</v>
      </c>
      <c r="H65" s="5">
        <v>4</v>
      </c>
      <c r="I65" s="10">
        <f t="shared" si="0"/>
        <v>10332.4</v>
      </c>
      <c r="J65" s="5">
        <v>4</v>
      </c>
      <c r="K65" s="12">
        <v>3333333.3333333302</v>
      </c>
      <c r="L65" s="6">
        <f t="shared" si="1"/>
        <v>5.2</v>
      </c>
      <c r="M65" s="5"/>
      <c r="N65" s="5"/>
      <c r="O65" s="13">
        <v>1987</v>
      </c>
      <c r="P65" s="7"/>
    </row>
    <row r="66" spans="1:16" x14ac:dyDescent="0.3">
      <c r="A66" s="4" t="s">
        <v>14</v>
      </c>
      <c r="B66" s="5" t="s">
        <v>18</v>
      </c>
      <c r="C66" s="5" t="s">
        <v>13</v>
      </c>
      <c r="D66" s="5" t="s">
        <v>6</v>
      </c>
      <c r="E66" s="5" t="s">
        <v>8</v>
      </c>
      <c r="F66" s="5" t="s">
        <v>9</v>
      </c>
      <c r="G66" s="5">
        <v>34</v>
      </c>
      <c r="H66" s="5">
        <v>4</v>
      </c>
      <c r="I66" s="10">
        <f t="shared" ref="I66:I85" si="9">L66*O66</f>
        <v>16252.599999999999</v>
      </c>
      <c r="J66" s="5">
        <v>7</v>
      </c>
      <c r="K66" s="12">
        <v>3333333.3333333302</v>
      </c>
      <c r="L66" s="6">
        <f t="shared" ref="L66:L92" si="10">J66*1.3</f>
        <v>9.1</v>
      </c>
      <c r="M66" s="5"/>
      <c r="N66" s="5"/>
      <c r="O66" s="13">
        <v>1786</v>
      </c>
      <c r="P66" s="7"/>
    </row>
    <row r="67" spans="1:16" x14ac:dyDescent="0.3">
      <c r="A67" s="4" t="s">
        <v>14</v>
      </c>
      <c r="B67" s="5" t="s">
        <v>18</v>
      </c>
      <c r="C67" s="5" t="s">
        <v>13</v>
      </c>
      <c r="D67" s="5" t="s">
        <v>7</v>
      </c>
      <c r="E67" s="5" t="s">
        <v>8</v>
      </c>
      <c r="F67" s="5" t="s">
        <v>9</v>
      </c>
      <c r="G67" s="5">
        <v>34</v>
      </c>
      <c r="H67" s="5">
        <v>12</v>
      </c>
      <c r="I67" s="10">
        <f t="shared" si="9"/>
        <v>9869.6</v>
      </c>
      <c r="J67" s="5">
        <v>4</v>
      </c>
      <c r="K67" s="12">
        <v>3333333.3333333302</v>
      </c>
      <c r="L67" s="6">
        <f t="shared" si="10"/>
        <v>5.2</v>
      </c>
      <c r="M67" s="5"/>
      <c r="N67" s="5"/>
      <c r="O67" s="13">
        <v>1898</v>
      </c>
      <c r="P67" s="7"/>
    </row>
    <row r="68" spans="1:16" x14ac:dyDescent="0.3">
      <c r="A68" s="4" t="s">
        <v>14</v>
      </c>
      <c r="B68" s="5" t="s">
        <v>18</v>
      </c>
      <c r="C68" s="5" t="s">
        <v>13</v>
      </c>
      <c r="D68" s="5" t="s">
        <v>5</v>
      </c>
      <c r="E68" s="5" t="s">
        <v>8</v>
      </c>
      <c r="F68" s="5" t="s">
        <v>10</v>
      </c>
      <c r="G68" s="5">
        <v>34</v>
      </c>
      <c r="H68" s="5">
        <v>4</v>
      </c>
      <c r="I68" s="10">
        <f t="shared" ref="I68:I73" si="11">L68*O68*P68</f>
        <v>1060.8000000000002</v>
      </c>
      <c r="J68" s="5">
        <v>4</v>
      </c>
      <c r="K68" s="12">
        <v>3333333.3333333302</v>
      </c>
      <c r="L68" s="6">
        <f t="shared" si="10"/>
        <v>5.2</v>
      </c>
      <c r="M68" s="5"/>
      <c r="N68" s="5"/>
      <c r="O68" s="13">
        <v>68</v>
      </c>
      <c r="P68" s="7">
        <v>3</v>
      </c>
    </row>
    <row r="69" spans="1:16" x14ac:dyDescent="0.3">
      <c r="A69" s="4" t="s">
        <v>14</v>
      </c>
      <c r="B69" s="5" t="s">
        <v>18</v>
      </c>
      <c r="C69" s="5" t="s">
        <v>13</v>
      </c>
      <c r="D69" s="5" t="s">
        <v>6</v>
      </c>
      <c r="E69" s="5" t="s">
        <v>8</v>
      </c>
      <c r="F69" s="5" t="s">
        <v>10</v>
      </c>
      <c r="G69" s="5">
        <v>34</v>
      </c>
      <c r="H69" s="5">
        <v>4</v>
      </c>
      <c r="I69" s="10">
        <f t="shared" si="11"/>
        <v>1610.6999999999998</v>
      </c>
      <c r="J69" s="5">
        <v>7</v>
      </c>
      <c r="K69" s="12">
        <v>3333333.3333333302</v>
      </c>
      <c r="L69" s="6">
        <f t="shared" si="10"/>
        <v>9.1</v>
      </c>
      <c r="M69" s="5"/>
      <c r="N69" s="5"/>
      <c r="O69" s="13">
        <v>59</v>
      </c>
      <c r="P69" s="7">
        <v>3</v>
      </c>
    </row>
    <row r="70" spans="1:16" x14ac:dyDescent="0.3">
      <c r="A70" s="4" t="s">
        <v>14</v>
      </c>
      <c r="B70" s="5" t="s">
        <v>18</v>
      </c>
      <c r="C70" s="5" t="s">
        <v>13</v>
      </c>
      <c r="D70" s="5" t="s">
        <v>7</v>
      </c>
      <c r="E70" s="5" t="s">
        <v>8</v>
      </c>
      <c r="F70" s="5" t="s">
        <v>10</v>
      </c>
      <c r="G70" s="5">
        <v>34</v>
      </c>
      <c r="H70" s="5">
        <v>12</v>
      </c>
      <c r="I70" s="10">
        <f t="shared" si="11"/>
        <v>936</v>
      </c>
      <c r="J70" s="5">
        <v>4</v>
      </c>
      <c r="K70" s="12">
        <v>3333333.3333333302</v>
      </c>
      <c r="L70" s="6">
        <f t="shared" si="10"/>
        <v>5.2</v>
      </c>
      <c r="M70" s="5"/>
      <c r="N70" s="5"/>
      <c r="O70" s="13">
        <v>60</v>
      </c>
      <c r="P70" s="7">
        <v>3</v>
      </c>
    </row>
    <row r="71" spans="1:16" x14ac:dyDescent="0.3">
      <c r="A71" s="4" t="s">
        <v>14</v>
      </c>
      <c r="B71" s="5" t="s">
        <v>18</v>
      </c>
      <c r="C71" s="5" t="s">
        <v>13</v>
      </c>
      <c r="D71" s="5" t="s">
        <v>5</v>
      </c>
      <c r="E71" s="5" t="s">
        <v>8</v>
      </c>
      <c r="F71" s="5" t="s">
        <v>11</v>
      </c>
      <c r="G71" s="5">
        <v>34</v>
      </c>
      <c r="H71" s="5">
        <v>4</v>
      </c>
      <c r="I71" s="10">
        <f t="shared" si="11"/>
        <v>842.40000000000009</v>
      </c>
      <c r="J71" s="5">
        <v>4</v>
      </c>
      <c r="K71" s="12">
        <v>3333333.3333333302</v>
      </c>
      <c r="L71" s="6">
        <f t="shared" si="10"/>
        <v>5.2</v>
      </c>
      <c r="M71" s="5"/>
      <c r="N71" s="5"/>
      <c r="O71" s="13">
        <v>54</v>
      </c>
      <c r="P71" s="7">
        <v>3</v>
      </c>
    </row>
    <row r="72" spans="1:16" x14ac:dyDescent="0.3">
      <c r="A72" s="4" t="s">
        <v>14</v>
      </c>
      <c r="B72" s="5" t="s">
        <v>18</v>
      </c>
      <c r="C72" s="5" t="s">
        <v>13</v>
      </c>
      <c r="D72" s="5" t="s">
        <v>6</v>
      </c>
      <c r="E72" s="5" t="s">
        <v>8</v>
      </c>
      <c r="F72" s="5" t="s">
        <v>11</v>
      </c>
      <c r="G72" s="5">
        <v>34</v>
      </c>
      <c r="H72" s="5">
        <v>4</v>
      </c>
      <c r="I72" s="10">
        <f t="shared" si="11"/>
        <v>1201.1999999999998</v>
      </c>
      <c r="J72" s="5">
        <v>7</v>
      </c>
      <c r="K72" s="12">
        <v>3333333.3333333302</v>
      </c>
      <c r="L72" s="6">
        <f t="shared" si="10"/>
        <v>9.1</v>
      </c>
      <c r="M72" s="5"/>
      <c r="N72" s="5"/>
      <c r="O72" s="13">
        <v>44</v>
      </c>
      <c r="P72" s="7">
        <v>3</v>
      </c>
    </row>
    <row r="73" spans="1:16" x14ac:dyDescent="0.3">
      <c r="A73" s="4" t="s">
        <v>14</v>
      </c>
      <c r="B73" s="5" t="s">
        <v>18</v>
      </c>
      <c r="C73" s="5" t="s">
        <v>13</v>
      </c>
      <c r="D73" s="5" t="s">
        <v>7</v>
      </c>
      <c r="E73" s="5" t="s">
        <v>8</v>
      </c>
      <c r="F73" s="5" t="s">
        <v>11</v>
      </c>
      <c r="G73" s="5">
        <v>34</v>
      </c>
      <c r="H73" s="5">
        <v>12</v>
      </c>
      <c r="I73" s="10">
        <f t="shared" si="11"/>
        <v>904.80000000000007</v>
      </c>
      <c r="J73" s="5">
        <v>4</v>
      </c>
      <c r="K73" s="12">
        <v>3333333.3333333302</v>
      </c>
      <c r="L73" s="6">
        <f t="shared" si="10"/>
        <v>5.2</v>
      </c>
      <c r="M73" s="5"/>
      <c r="N73" s="5"/>
      <c r="O73" s="13">
        <v>58</v>
      </c>
      <c r="P73" s="7">
        <v>3</v>
      </c>
    </row>
    <row r="74" spans="1:16" x14ac:dyDescent="0.3">
      <c r="A74" s="4" t="s">
        <v>19</v>
      </c>
      <c r="B74" s="5" t="s">
        <v>19</v>
      </c>
      <c r="C74" s="5" t="s">
        <v>31</v>
      </c>
      <c r="D74" s="5" t="s">
        <v>5</v>
      </c>
      <c r="E74" s="5" t="s">
        <v>8</v>
      </c>
      <c r="F74" s="5" t="s">
        <v>9</v>
      </c>
      <c r="G74" s="5">
        <v>98</v>
      </c>
      <c r="H74" s="5">
        <v>3</v>
      </c>
      <c r="I74" s="10">
        <f t="shared" si="9"/>
        <v>65208.000000000007</v>
      </c>
      <c r="J74" s="5">
        <v>24</v>
      </c>
      <c r="K74" s="12">
        <v>8750000</v>
      </c>
      <c r="L74" s="6">
        <f t="shared" si="10"/>
        <v>31.200000000000003</v>
      </c>
      <c r="M74" s="5"/>
      <c r="N74" s="5"/>
      <c r="O74" s="13">
        <v>2090</v>
      </c>
      <c r="P74" s="7"/>
    </row>
    <row r="75" spans="1:16" x14ac:dyDescent="0.3">
      <c r="A75" s="4" t="s">
        <v>19</v>
      </c>
      <c r="B75" s="5" t="s">
        <v>19</v>
      </c>
      <c r="C75" s="5" t="s">
        <v>31</v>
      </c>
      <c r="D75" s="5" t="s">
        <v>6</v>
      </c>
      <c r="E75" s="5" t="s">
        <v>8</v>
      </c>
      <c r="F75" s="5" t="s">
        <v>9</v>
      </c>
      <c r="G75" s="5">
        <v>98</v>
      </c>
      <c r="H75" s="5">
        <v>3</v>
      </c>
      <c r="I75" s="10">
        <f t="shared" si="9"/>
        <v>63177.4</v>
      </c>
      <c r="J75" s="5">
        <v>22</v>
      </c>
      <c r="K75" s="12">
        <v>8750000</v>
      </c>
      <c r="L75" s="6">
        <f t="shared" si="10"/>
        <v>28.6</v>
      </c>
      <c r="M75" s="5"/>
      <c r="N75" s="5"/>
      <c r="O75" s="13">
        <v>2209</v>
      </c>
      <c r="P75" s="7"/>
    </row>
    <row r="76" spans="1:16" x14ac:dyDescent="0.3">
      <c r="A76" s="4" t="s">
        <v>19</v>
      </c>
      <c r="B76" s="5" t="s">
        <v>19</v>
      </c>
      <c r="C76" s="5" t="s">
        <v>31</v>
      </c>
      <c r="D76" s="5" t="s">
        <v>7</v>
      </c>
      <c r="E76" s="5" t="s">
        <v>8</v>
      </c>
      <c r="F76" s="5" t="s">
        <v>9</v>
      </c>
      <c r="G76" s="5">
        <v>98</v>
      </c>
      <c r="H76" s="5">
        <v>11</v>
      </c>
      <c r="I76" s="10">
        <f t="shared" si="9"/>
        <v>51820.6</v>
      </c>
      <c r="J76" s="5">
        <v>19</v>
      </c>
      <c r="K76" s="12">
        <v>8750000</v>
      </c>
      <c r="L76" s="6">
        <f t="shared" si="10"/>
        <v>24.7</v>
      </c>
      <c r="M76" s="5"/>
      <c r="N76" s="5"/>
      <c r="O76" s="13">
        <v>2098</v>
      </c>
      <c r="P76" s="7"/>
    </row>
    <row r="77" spans="1:16" x14ac:dyDescent="0.3">
      <c r="A77" s="4" t="s">
        <v>19</v>
      </c>
      <c r="B77" s="5" t="s">
        <v>19</v>
      </c>
      <c r="C77" s="5" t="s">
        <v>31</v>
      </c>
      <c r="D77" s="5" t="s">
        <v>5</v>
      </c>
      <c r="E77" s="5" t="s">
        <v>8</v>
      </c>
      <c r="F77" s="5" t="s">
        <v>10</v>
      </c>
      <c r="G77" s="5">
        <v>98</v>
      </c>
      <c r="H77" s="5">
        <v>3</v>
      </c>
      <c r="I77" s="10">
        <f t="shared" ref="I77:I82" si="12">L77*O77*P77</f>
        <v>20280</v>
      </c>
      <c r="J77" s="5">
        <v>20</v>
      </c>
      <c r="K77" s="12">
        <v>8750000</v>
      </c>
      <c r="L77" s="6">
        <f t="shared" si="10"/>
        <v>26</v>
      </c>
      <c r="M77" s="5"/>
      <c r="N77" s="5"/>
      <c r="O77" s="13">
        <v>156</v>
      </c>
      <c r="P77" s="7">
        <v>5</v>
      </c>
    </row>
    <row r="78" spans="1:16" x14ac:dyDescent="0.3">
      <c r="A78" s="4" t="s">
        <v>19</v>
      </c>
      <c r="B78" s="5" t="s">
        <v>19</v>
      </c>
      <c r="C78" s="5" t="s">
        <v>31</v>
      </c>
      <c r="D78" s="5" t="s">
        <v>6</v>
      </c>
      <c r="E78" s="5" t="s">
        <v>8</v>
      </c>
      <c r="F78" s="5" t="s">
        <v>10</v>
      </c>
      <c r="G78" s="5">
        <v>98</v>
      </c>
      <c r="H78" s="5">
        <v>3</v>
      </c>
      <c r="I78" s="10">
        <f t="shared" si="12"/>
        <v>41769.000000000007</v>
      </c>
      <c r="J78" s="5">
        <v>34</v>
      </c>
      <c r="K78" s="12">
        <v>8750000</v>
      </c>
      <c r="L78" s="6">
        <f t="shared" si="10"/>
        <v>44.2</v>
      </c>
      <c r="M78" s="5"/>
      <c r="N78" s="5"/>
      <c r="O78" s="13">
        <v>189</v>
      </c>
      <c r="P78" s="7">
        <v>5</v>
      </c>
    </row>
    <row r="79" spans="1:16" x14ac:dyDescent="0.3">
      <c r="A79" s="4" t="s">
        <v>19</v>
      </c>
      <c r="B79" s="5" t="s">
        <v>19</v>
      </c>
      <c r="C79" s="5" t="s">
        <v>31</v>
      </c>
      <c r="D79" s="5" t="s">
        <v>7</v>
      </c>
      <c r="E79" s="5" t="s">
        <v>8</v>
      </c>
      <c r="F79" s="5" t="s">
        <v>10</v>
      </c>
      <c r="G79" s="5">
        <v>98</v>
      </c>
      <c r="H79" s="5">
        <v>11</v>
      </c>
      <c r="I79" s="10">
        <f t="shared" si="12"/>
        <v>33150</v>
      </c>
      <c r="J79" s="5">
        <v>30</v>
      </c>
      <c r="K79" s="12">
        <v>8750000</v>
      </c>
      <c r="L79" s="6">
        <f t="shared" si="10"/>
        <v>39</v>
      </c>
      <c r="M79" s="5"/>
      <c r="N79" s="5"/>
      <c r="O79" s="13">
        <v>170</v>
      </c>
      <c r="P79" s="7">
        <v>5</v>
      </c>
    </row>
    <row r="80" spans="1:16" x14ac:dyDescent="0.3">
      <c r="A80" s="4" t="s">
        <v>19</v>
      </c>
      <c r="B80" s="5" t="s">
        <v>19</v>
      </c>
      <c r="C80" s="5" t="s">
        <v>31</v>
      </c>
      <c r="D80" s="5" t="s">
        <v>5</v>
      </c>
      <c r="E80" s="5" t="s">
        <v>8</v>
      </c>
      <c r="F80" s="5" t="s">
        <v>11</v>
      </c>
      <c r="G80" s="5">
        <v>98</v>
      </c>
      <c r="H80" s="5">
        <v>3</v>
      </c>
      <c r="I80" s="10">
        <f t="shared" si="12"/>
        <v>12064</v>
      </c>
      <c r="J80" s="5">
        <v>29</v>
      </c>
      <c r="K80" s="12">
        <v>8750000</v>
      </c>
      <c r="L80" s="6">
        <f t="shared" si="10"/>
        <v>37.700000000000003</v>
      </c>
      <c r="M80" s="5"/>
      <c r="N80" s="5"/>
      <c r="O80" s="13">
        <v>64</v>
      </c>
      <c r="P80" s="7">
        <v>5</v>
      </c>
    </row>
    <row r="81" spans="1:16" x14ac:dyDescent="0.3">
      <c r="A81" s="4" t="s">
        <v>19</v>
      </c>
      <c r="B81" s="5" t="s">
        <v>19</v>
      </c>
      <c r="C81" s="5" t="s">
        <v>31</v>
      </c>
      <c r="D81" s="5" t="s">
        <v>6</v>
      </c>
      <c r="E81" s="5" t="s">
        <v>8</v>
      </c>
      <c r="F81" s="5" t="s">
        <v>11</v>
      </c>
      <c r="G81" s="5">
        <v>98</v>
      </c>
      <c r="H81" s="5">
        <v>3</v>
      </c>
      <c r="I81" s="10">
        <f t="shared" si="12"/>
        <v>12350</v>
      </c>
      <c r="J81" s="5">
        <v>25</v>
      </c>
      <c r="K81" s="12">
        <v>8750000</v>
      </c>
      <c r="L81" s="6">
        <f t="shared" si="10"/>
        <v>32.5</v>
      </c>
      <c r="M81" s="5"/>
      <c r="N81" s="5"/>
      <c r="O81" s="13">
        <v>76</v>
      </c>
      <c r="P81" s="7">
        <v>5</v>
      </c>
    </row>
    <row r="82" spans="1:16" x14ac:dyDescent="0.3">
      <c r="A82" s="4" t="s">
        <v>19</v>
      </c>
      <c r="B82" s="5" t="s">
        <v>19</v>
      </c>
      <c r="C82" s="5" t="s">
        <v>31</v>
      </c>
      <c r="D82" s="5" t="s">
        <v>7</v>
      </c>
      <c r="E82" s="5" t="s">
        <v>8</v>
      </c>
      <c r="F82" s="5" t="s">
        <v>11</v>
      </c>
      <c r="G82" s="5">
        <v>98</v>
      </c>
      <c r="H82" s="5">
        <v>11</v>
      </c>
      <c r="I82" s="10">
        <f t="shared" si="12"/>
        <v>6421.9999999999991</v>
      </c>
      <c r="J82" s="5">
        <v>19</v>
      </c>
      <c r="K82" s="12">
        <v>8750000</v>
      </c>
      <c r="L82" s="6">
        <f t="shared" si="10"/>
        <v>24.7</v>
      </c>
      <c r="M82" s="5"/>
      <c r="N82" s="5"/>
      <c r="O82" s="13">
        <v>52</v>
      </c>
      <c r="P82" s="7">
        <v>5</v>
      </c>
    </row>
    <row r="83" spans="1:16" x14ac:dyDescent="0.3">
      <c r="A83" s="4" t="s">
        <v>19</v>
      </c>
      <c r="B83" s="5" t="s">
        <v>19</v>
      </c>
      <c r="C83" s="5" t="s">
        <v>13</v>
      </c>
      <c r="D83" s="5" t="s">
        <v>5</v>
      </c>
      <c r="E83" s="5" t="s">
        <v>8</v>
      </c>
      <c r="F83" s="5" t="s">
        <v>9</v>
      </c>
      <c r="G83" s="5">
        <v>34</v>
      </c>
      <c r="H83" s="5">
        <v>6</v>
      </c>
      <c r="I83" s="10">
        <f t="shared" si="9"/>
        <v>57200</v>
      </c>
      <c r="J83" s="5">
        <v>22</v>
      </c>
      <c r="K83" s="12">
        <v>8750000</v>
      </c>
      <c r="L83" s="6">
        <f t="shared" si="10"/>
        <v>28.6</v>
      </c>
      <c r="M83" s="5"/>
      <c r="N83" s="5"/>
      <c r="O83" s="13">
        <v>2000</v>
      </c>
      <c r="P83" s="7"/>
    </row>
    <row r="84" spans="1:16" x14ac:dyDescent="0.3">
      <c r="A84" s="4" t="s">
        <v>19</v>
      </c>
      <c r="B84" s="5" t="s">
        <v>19</v>
      </c>
      <c r="C84" s="5" t="s">
        <v>13</v>
      </c>
      <c r="D84" s="5" t="s">
        <v>6</v>
      </c>
      <c r="E84" s="5" t="s">
        <v>8</v>
      </c>
      <c r="F84" s="5" t="s">
        <v>9</v>
      </c>
      <c r="G84" s="5">
        <v>34</v>
      </c>
      <c r="H84" s="5">
        <v>6</v>
      </c>
      <c r="I84" s="10">
        <f t="shared" si="9"/>
        <v>46930</v>
      </c>
      <c r="J84" s="5">
        <v>19</v>
      </c>
      <c r="K84" s="12">
        <v>8750000</v>
      </c>
      <c r="L84" s="6">
        <f t="shared" si="10"/>
        <v>24.7</v>
      </c>
      <c r="M84" s="5"/>
      <c r="N84" s="5"/>
      <c r="O84" s="13">
        <v>1900</v>
      </c>
      <c r="P84" s="7"/>
    </row>
    <row r="85" spans="1:16" x14ac:dyDescent="0.3">
      <c r="A85" s="4" t="s">
        <v>19</v>
      </c>
      <c r="B85" s="5" t="s">
        <v>19</v>
      </c>
      <c r="C85" s="5" t="s">
        <v>13</v>
      </c>
      <c r="D85" s="5" t="s">
        <v>7</v>
      </c>
      <c r="E85" s="5" t="s">
        <v>8</v>
      </c>
      <c r="F85" s="5" t="s">
        <v>9</v>
      </c>
      <c r="G85" s="5">
        <v>34</v>
      </c>
      <c r="H85" s="5">
        <v>9</v>
      </c>
      <c r="I85" s="10">
        <f t="shared" si="9"/>
        <v>93194.400000000009</v>
      </c>
      <c r="J85" s="5">
        <v>24</v>
      </c>
      <c r="K85" s="12">
        <v>8750000</v>
      </c>
      <c r="L85" s="6">
        <f t="shared" si="10"/>
        <v>31.200000000000003</v>
      </c>
      <c r="M85" s="5"/>
      <c r="N85" s="5"/>
      <c r="O85" s="13">
        <v>2987</v>
      </c>
      <c r="P85" s="7"/>
    </row>
    <row r="86" spans="1:16" x14ac:dyDescent="0.3">
      <c r="A86" s="4" t="s">
        <v>19</v>
      </c>
      <c r="B86" s="5" t="s">
        <v>19</v>
      </c>
      <c r="C86" s="5" t="s">
        <v>13</v>
      </c>
      <c r="D86" s="5" t="s">
        <v>5</v>
      </c>
      <c r="E86" s="5" t="s">
        <v>8</v>
      </c>
      <c r="F86" s="5" t="s">
        <v>10</v>
      </c>
      <c r="G86" s="5">
        <v>34</v>
      </c>
      <c r="H86" s="5">
        <v>6</v>
      </c>
      <c r="I86" s="10">
        <f t="shared" ref="I86:I91" si="13">L86*O86*P86</f>
        <v>23140</v>
      </c>
      <c r="J86" s="5">
        <v>20</v>
      </c>
      <c r="K86" s="12">
        <v>8750000</v>
      </c>
      <c r="L86" s="6">
        <f t="shared" si="10"/>
        <v>26</v>
      </c>
      <c r="M86" s="5"/>
      <c r="N86" s="5"/>
      <c r="O86" s="10">
        <v>178</v>
      </c>
      <c r="P86" s="7">
        <v>5</v>
      </c>
    </row>
    <row r="87" spans="1:16" x14ac:dyDescent="0.3">
      <c r="A87" s="4" t="s">
        <v>19</v>
      </c>
      <c r="B87" s="5" t="s">
        <v>19</v>
      </c>
      <c r="C87" s="5" t="s">
        <v>13</v>
      </c>
      <c r="D87" s="5" t="s">
        <v>6</v>
      </c>
      <c r="E87" s="5" t="s">
        <v>8</v>
      </c>
      <c r="F87" s="5" t="s">
        <v>10</v>
      </c>
      <c r="G87" s="5">
        <v>34</v>
      </c>
      <c r="H87" s="5">
        <v>6</v>
      </c>
      <c r="I87" s="10">
        <f t="shared" si="13"/>
        <v>25740</v>
      </c>
      <c r="J87" s="5">
        <v>22</v>
      </c>
      <c r="K87" s="12">
        <v>8750000</v>
      </c>
      <c r="L87" s="6">
        <f t="shared" si="10"/>
        <v>28.6</v>
      </c>
      <c r="M87" s="5"/>
      <c r="N87" s="5"/>
      <c r="O87" s="10">
        <v>180</v>
      </c>
      <c r="P87" s="7">
        <v>5</v>
      </c>
    </row>
    <row r="88" spans="1:16" x14ac:dyDescent="0.3">
      <c r="A88" s="4" t="s">
        <v>19</v>
      </c>
      <c r="B88" s="5" t="s">
        <v>19</v>
      </c>
      <c r="C88" s="5" t="s">
        <v>13</v>
      </c>
      <c r="D88" s="5" t="s">
        <v>7</v>
      </c>
      <c r="E88" s="5" t="s">
        <v>8</v>
      </c>
      <c r="F88" s="5" t="s">
        <v>10</v>
      </c>
      <c r="G88" s="5">
        <v>34</v>
      </c>
      <c r="H88" s="5">
        <v>9</v>
      </c>
      <c r="I88" s="10">
        <f t="shared" si="13"/>
        <v>26000</v>
      </c>
      <c r="J88" s="5">
        <v>20</v>
      </c>
      <c r="K88" s="12">
        <v>8750000</v>
      </c>
      <c r="L88" s="6">
        <f t="shared" si="10"/>
        <v>26</v>
      </c>
      <c r="M88" s="5"/>
      <c r="N88" s="5"/>
      <c r="O88" s="10">
        <v>200</v>
      </c>
      <c r="P88" s="7">
        <v>5</v>
      </c>
    </row>
    <row r="89" spans="1:16" x14ac:dyDescent="0.3">
      <c r="A89" s="4" t="s">
        <v>19</v>
      </c>
      <c r="B89" s="5" t="s">
        <v>19</v>
      </c>
      <c r="C89" s="5" t="s">
        <v>13</v>
      </c>
      <c r="D89" s="5" t="s">
        <v>5</v>
      </c>
      <c r="E89" s="5" t="s">
        <v>8</v>
      </c>
      <c r="F89" s="5" t="s">
        <v>11</v>
      </c>
      <c r="G89" s="5">
        <v>34</v>
      </c>
      <c r="H89" s="5">
        <v>6</v>
      </c>
      <c r="I89" s="10">
        <f t="shared" si="13"/>
        <v>9269</v>
      </c>
      <c r="J89" s="5">
        <v>23</v>
      </c>
      <c r="K89" s="12">
        <v>8750000</v>
      </c>
      <c r="L89" s="6">
        <f t="shared" si="10"/>
        <v>29.900000000000002</v>
      </c>
      <c r="M89" s="5"/>
      <c r="N89" s="5"/>
      <c r="O89" s="10">
        <v>62</v>
      </c>
      <c r="P89" s="7">
        <v>5</v>
      </c>
    </row>
    <row r="90" spans="1:16" x14ac:dyDescent="0.3">
      <c r="A90" s="4" t="s">
        <v>19</v>
      </c>
      <c r="B90" s="5" t="s">
        <v>19</v>
      </c>
      <c r="C90" s="5" t="s">
        <v>13</v>
      </c>
      <c r="D90" s="5" t="s">
        <v>6</v>
      </c>
      <c r="E90" s="5" t="s">
        <v>8</v>
      </c>
      <c r="F90" s="5" t="s">
        <v>11</v>
      </c>
      <c r="G90" s="5">
        <v>34</v>
      </c>
      <c r="H90" s="5">
        <v>6</v>
      </c>
      <c r="I90" s="10">
        <f t="shared" si="13"/>
        <v>7540</v>
      </c>
      <c r="J90" s="5">
        <v>20</v>
      </c>
      <c r="K90" s="12">
        <v>8750000</v>
      </c>
      <c r="L90" s="6">
        <f t="shared" si="10"/>
        <v>26</v>
      </c>
      <c r="M90" s="5"/>
      <c r="N90" s="5"/>
      <c r="O90" s="10">
        <v>58</v>
      </c>
      <c r="P90" s="7">
        <v>5</v>
      </c>
    </row>
    <row r="91" spans="1:16" x14ac:dyDescent="0.3">
      <c r="A91" s="4" t="s">
        <v>19</v>
      </c>
      <c r="B91" s="5" t="s">
        <v>19</v>
      </c>
      <c r="C91" s="5" t="s">
        <v>13</v>
      </c>
      <c r="D91" s="5" t="s">
        <v>7</v>
      </c>
      <c r="E91" s="5" t="s">
        <v>8</v>
      </c>
      <c r="F91" s="5" t="s">
        <v>11</v>
      </c>
      <c r="G91" s="5">
        <v>34</v>
      </c>
      <c r="H91" s="5">
        <v>9</v>
      </c>
      <c r="I91" s="10">
        <f t="shared" si="13"/>
        <v>8190</v>
      </c>
      <c r="J91" s="5">
        <v>21</v>
      </c>
      <c r="K91" s="12">
        <v>8750000</v>
      </c>
      <c r="L91" s="6">
        <f t="shared" si="10"/>
        <v>27.3</v>
      </c>
      <c r="M91" s="5"/>
      <c r="N91" s="5"/>
      <c r="O91" s="10">
        <v>60</v>
      </c>
      <c r="P91" s="7">
        <v>5</v>
      </c>
    </row>
    <row r="92" spans="1:16" x14ac:dyDescent="0.3">
      <c r="A92" s="4" t="s">
        <v>32</v>
      </c>
      <c r="B92" s="5" t="s">
        <v>23</v>
      </c>
      <c r="C92" s="5" t="s">
        <v>12</v>
      </c>
      <c r="D92" s="5" t="s">
        <v>6</v>
      </c>
      <c r="E92" s="5" t="s">
        <v>8</v>
      </c>
      <c r="F92" s="5" t="s">
        <v>9</v>
      </c>
      <c r="G92" s="5">
        <v>215</v>
      </c>
      <c r="H92" s="5">
        <v>3</v>
      </c>
      <c r="I92" s="10">
        <f>L92*O92</f>
        <v>15210.000000000002</v>
      </c>
      <c r="J92" s="5">
        <v>13</v>
      </c>
      <c r="K92" s="12">
        <v>4250000</v>
      </c>
      <c r="L92" s="6">
        <f t="shared" si="10"/>
        <v>16.900000000000002</v>
      </c>
      <c r="M92" s="5"/>
      <c r="N92" s="5"/>
      <c r="O92" s="10">
        <v>900</v>
      </c>
      <c r="P92" s="7"/>
    </row>
    <row r="93" spans="1:16" x14ac:dyDescent="0.3">
      <c r="A93" s="4" t="s">
        <v>32</v>
      </c>
      <c r="B93" s="5" t="s">
        <v>23</v>
      </c>
      <c r="C93" s="5" t="s">
        <v>12</v>
      </c>
      <c r="D93" s="5" t="s">
        <v>7</v>
      </c>
      <c r="E93" s="5" t="s">
        <v>8</v>
      </c>
      <c r="F93" s="5" t="s">
        <v>9</v>
      </c>
      <c r="G93" s="5">
        <v>215</v>
      </c>
      <c r="H93" s="5">
        <v>10</v>
      </c>
      <c r="I93" s="10">
        <f>L93*O93</f>
        <v>26970</v>
      </c>
      <c r="J93" s="5">
        <v>20</v>
      </c>
      <c r="K93" s="12">
        <v>4250000</v>
      </c>
      <c r="L93" s="6">
        <v>31</v>
      </c>
      <c r="M93" s="5"/>
      <c r="N93" s="5"/>
      <c r="O93" s="10">
        <v>870</v>
      </c>
      <c r="P93" s="7"/>
    </row>
    <row r="94" spans="1:16" x14ac:dyDescent="0.3">
      <c r="A94" s="4" t="s">
        <v>32</v>
      </c>
      <c r="B94" s="5" t="s">
        <v>23</v>
      </c>
      <c r="C94" s="5" t="s">
        <v>12</v>
      </c>
      <c r="D94" s="5" t="s">
        <v>5</v>
      </c>
      <c r="E94" s="5" t="s">
        <v>8</v>
      </c>
      <c r="F94" s="5" t="s">
        <v>10</v>
      </c>
      <c r="G94" s="5">
        <v>215</v>
      </c>
      <c r="H94" s="5">
        <v>3</v>
      </c>
      <c r="I94" s="10">
        <f t="shared" ref="I94:I99" si="14">L94*O94*P94</f>
        <v>14490</v>
      </c>
      <c r="J94" s="5">
        <v>18</v>
      </c>
      <c r="K94" s="12">
        <v>4250000</v>
      </c>
      <c r="L94" s="6">
        <v>21</v>
      </c>
      <c r="M94" s="5"/>
      <c r="N94" s="5"/>
      <c r="O94" s="10">
        <v>230</v>
      </c>
      <c r="P94" s="7">
        <v>3</v>
      </c>
    </row>
    <row r="95" spans="1:16" x14ac:dyDescent="0.3">
      <c r="A95" s="4" t="s">
        <v>32</v>
      </c>
      <c r="B95" s="5" t="s">
        <v>23</v>
      </c>
      <c r="C95" s="5" t="s">
        <v>12</v>
      </c>
      <c r="D95" s="5" t="s">
        <v>6</v>
      </c>
      <c r="E95" s="5" t="s">
        <v>8</v>
      </c>
      <c r="F95" s="5" t="s">
        <v>10</v>
      </c>
      <c r="G95" s="5">
        <v>215</v>
      </c>
      <c r="H95" s="5">
        <v>3</v>
      </c>
      <c r="I95" s="10">
        <f t="shared" si="14"/>
        <v>9600</v>
      </c>
      <c r="J95" s="5">
        <v>13</v>
      </c>
      <c r="K95" s="12">
        <v>4250000</v>
      </c>
      <c r="L95" s="6">
        <v>16</v>
      </c>
      <c r="M95" s="5"/>
      <c r="N95" s="5"/>
      <c r="O95" s="10">
        <v>200</v>
      </c>
      <c r="P95" s="7">
        <v>3</v>
      </c>
    </row>
    <row r="96" spans="1:16" x14ac:dyDescent="0.3">
      <c r="A96" s="4" t="s">
        <v>32</v>
      </c>
      <c r="B96" s="5" t="s">
        <v>23</v>
      </c>
      <c r="C96" s="5" t="s">
        <v>12</v>
      </c>
      <c r="D96" s="5" t="s">
        <v>7</v>
      </c>
      <c r="E96" s="5" t="s">
        <v>8</v>
      </c>
      <c r="F96" s="5" t="s">
        <v>10</v>
      </c>
      <c r="G96" s="5">
        <v>215</v>
      </c>
      <c r="H96" s="5">
        <v>10</v>
      </c>
      <c r="I96" s="10">
        <f t="shared" si="14"/>
        <v>26970</v>
      </c>
      <c r="J96" s="5">
        <v>21</v>
      </c>
      <c r="K96" s="12">
        <v>4250000</v>
      </c>
      <c r="L96" s="6">
        <v>31</v>
      </c>
      <c r="M96" s="5"/>
      <c r="N96" s="5"/>
      <c r="O96" s="10">
        <v>290</v>
      </c>
      <c r="P96" s="7">
        <v>3</v>
      </c>
    </row>
    <row r="97" spans="1:16" x14ac:dyDescent="0.3">
      <c r="A97" s="4" t="s">
        <v>32</v>
      </c>
      <c r="B97" s="5" t="s">
        <v>23</v>
      </c>
      <c r="C97" s="5" t="s">
        <v>12</v>
      </c>
      <c r="D97" s="5" t="s">
        <v>5</v>
      </c>
      <c r="E97" s="5" t="s">
        <v>8</v>
      </c>
      <c r="F97" s="5" t="s">
        <v>11</v>
      </c>
      <c r="G97" s="5">
        <v>215</v>
      </c>
      <c r="H97" s="5">
        <v>3</v>
      </c>
      <c r="I97" s="10">
        <f t="shared" si="14"/>
        <v>2246.4</v>
      </c>
      <c r="J97" s="5">
        <v>18</v>
      </c>
      <c r="K97" s="12">
        <v>4250000</v>
      </c>
      <c r="L97" s="6">
        <f t="shared" ref="L97:L99" si="15">J97*1.3</f>
        <v>23.400000000000002</v>
      </c>
      <c r="M97" s="5"/>
      <c r="N97" s="5"/>
      <c r="O97" s="10">
        <v>32</v>
      </c>
      <c r="P97" s="7">
        <v>3</v>
      </c>
    </row>
    <row r="98" spans="1:16" x14ac:dyDescent="0.3">
      <c r="A98" s="4" t="s">
        <v>32</v>
      </c>
      <c r="B98" s="5" t="s">
        <v>23</v>
      </c>
      <c r="C98" s="5" t="s">
        <v>12</v>
      </c>
      <c r="D98" s="5" t="s">
        <v>6</v>
      </c>
      <c r="E98" s="5" t="s">
        <v>8</v>
      </c>
      <c r="F98" s="5" t="s">
        <v>11</v>
      </c>
      <c r="G98" s="5">
        <v>215</v>
      </c>
      <c r="H98" s="5">
        <v>3</v>
      </c>
      <c r="I98" s="10">
        <f t="shared" si="14"/>
        <v>2129.4</v>
      </c>
      <c r="J98" s="5">
        <v>13</v>
      </c>
      <c r="K98" s="12">
        <v>4250000</v>
      </c>
      <c r="L98" s="6">
        <f t="shared" si="15"/>
        <v>16.900000000000002</v>
      </c>
      <c r="M98" s="5"/>
      <c r="N98" s="5"/>
      <c r="O98" s="10">
        <v>42</v>
      </c>
      <c r="P98" s="7">
        <v>3</v>
      </c>
    </row>
    <row r="99" spans="1:16" x14ac:dyDescent="0.3">
      <c r="A99" s="4" t="s">
        <v>32</v>
      </c>
      <c r="B99" s="5" t="s">
        <v>23</v>
      </c>
      <c r="C99" s="5" t="s">
        <v>12</v>
      </c>
      <c r="D99" s="5" t="s">
        <v>7</v>
      </c>
      <c r="E99" s="5" t="s">
        <v>8</v>
      </c>
      <c r="F99" s="5" t="s">
        <v>11</v>
      </c>
      <c r="G99" s="5">
        <v>215</v>
      </c>
      <c r="H99" s="5">
        <v>10</v>
      </c>
      <c r="I99" s="10">
        <f t="shared" si="14"/>
        <v>5148</v>
      </c>
      <c r="J99" s="5">
        <v>20</v>
      </c>
      <c r="K99" s="12">
        <v>4250000</v>
      </c>
      <c r="L99" s="6">
        <f t="shared" si="15"/>
        <v>26</v>
      </c>
      <c r="M99" s="5"/>
      <c r="N99" s="5"/>
      <c r="O99" s="10">
        <v>66</v>
      </c>
      <c r="P99" s="7">
        <v>3</v>
      </c>
    </row>
    <row r="100" spans="1:16" x14ac:dyDescent="0.3">
      <c r="A100" s="4" t="s">
        <v>32</v>
      </c>
      <c r="B100" s="5" t="s">
        <v>23</v>
      </c>
      <c r="C100" s="5" t="s">
        <v>13</v>
      </c>
      <c r="D100" s="5" t="s">
        <v>5</v>
      </c>
      <c r="E100" s="5" t="s">
        <v>8</v>
      </c>
      <c r="F100" s="5" t="s">
        <v>9</v>
      </c>
      <c r="G100" s="5">
        <v>380</v>
      </c>
      <c r="H100" s="5">
        <v>2</v>
      </c>
      <c r="I100" s="10">
        <f>L100*O100</f>
        <v>69300</v>
      </c>
      <c r="J100" s="5">
        <v>54</v>
      </c>
      <c r="K100" s="12">
        <v>4250000</v>
      </c>
      <c r="L100" s="6">
        <v>77</v>
      </c>
      <c r="M100" s="5"/>
      <c r="N100" s="5"/>
      <c r="O100" s="10">
        <v>900</v>
      </c>
      <c r="P100" s="7"/>
    </row>
    <row r="101" spans="1:16" x14ac:dyDescent="0.3">
      <c r="A101" s="4" t="s">
        <v>32</v>
      </c>
      <c r="B101" s="5" t="s">
        <v>23</v>
      </c>
      <c r="C101" s="5" t="s">
        <v>13</v>
      </c>
      <c r="D101" s="5" t="s">
        <v>6</v>
      </c>
      <c r="E101" s="5" t="s">
        <v>8</v>
      </c>
      <c r="F101" s="5" t="s">
        <v>9</v>
      </c>
      <c r="G101" s="5">
        <v>380</v>
      </c>
      <c r="H101" s="5">
        <v>1</v>
      </c>
      <c r="I101" s="10">
        <f>L101*O101</f>
        <v>45762</v>
      </c>
      <c r="J101" s="5">
        <v>38</v>
      </c>
      <c r="K101" s="12">
        <v>4250000</v>
      </c>
      <c r="L101" s="6">
        <v>58</v>
      </c>
      <c r="M101" s="5"/>
      <c r="N101" s="5"/>
      <c r="O101" s="10">
        <v>789</v>
      </c>
      <c r="P101" s="7"/>
    </row>
    <row r="102" spans="1:16" x14ac:dyDescent="0.3">
      <c r="A102" s="4" t="s">
        <v>32</v>
      </c>
      <c r="B102" s="5" t="s">
        <v>23</v>
      </c>
      <c r="C102" s="5" t="s">
        <v>13</v>
      </c>
      <c r="D102" s="5" t="s">
        <v>7</v>
      </c>
      <c r="E102" s="5" t="s">
        <v>8</v>
      </c>
      <c r="F102" s="5" t="s">
        <v>9</v>
      </c>
      <c r="G102" s="5">
        <v>380</v>
      </c>
      <c r="H102" s="5">
        <v>12</v>
      </c>
      <c r="I102" s="10">
        <f>L102*O102</f>
        <v>69146</v>
      </c>
      <c r="J102" s="5">
        <v>52</v>
      </c>
      <c r="K102" s="12">
        <v>4250000</v>
      </c>
      <c r="L102" s="6">
        <v>77</v>
      </c>
      <c r="M102" s="5"/>
      <c r="N102" s="5"/>
      <c r="O102" s="10">
        <v>898</v>
      </c>
      <c r="P102" s="7"/>
    </row>
    <row r="103" spans="1:16" x14ac:dyDescent="0.3">
      <c r="A103" s="4" t="s">
        <v>32</v>
      </c>
      <c r="B103" s="5" t="s">
        <v>23</v>
      </c>
      <c r="C103" s="5" t="s">
        <v>13</v>
      </c>
      <c r="D103" s="5" t="s">
        <v>5</v>
      </c>
      <c r="E103" s="5" t="s">
        <v>8</v>
      </c>
      <c r="F103" s="5" t="s">
        <v>10</v>
      </c>
      <c r="G103" s="5">
        <v>380</v>
      </c>
      <c r="H103" s="5">
        <v>1</v>
      </c>
      <c r="I103" s="10">
        <f t="shared" ref="I103:I108" si="16">L103*O103*P103</f>
        <v>98560</v>
      </c>
      <c r="J103" s="5">
        <v>38</v>
      </c>
      <c r="K103" s="12">
        <v>4250000</v>
      </c>
      <c r="L103" s="6">
        <v>77</v>
      </c>
      <c r="M103" s="5"/>
      <c r="N103" s="5"/>
      <c r="O103" s="10">
        <v>320</v>
      </c>
      <c r="P103" s="7">
        <v>4</v>
      </c>
    </row>
    <row r="104" spans="1:16" x14ac:dyDescent="0.3">
      <c r="A104" s="4" t="s">
        <v>32</v>
      </c>
      <c r="B104" s="5" t="s">
        <v>23</v>
      </c>
      <c r="C104" s="5" t="s">
        <v>13</v>
      </c>
      <c r="D104" s="5" t="s">
        <v>6</v>
      </c>
      <c r="E104" s="5" t="s">
        <v>8</v>
      </c>
      <c r="F104" s="5" t="s">
        <v>10</v>
      </c>
      <c r="G104" s="5">
        <v>380</v>
      </c>
      <c r="H104" s="5">
        <v>1</v>
      </c>
      <c r="I104" s="10">
        <f t="shared" si="16"/>
        <v>48488</v>
      </c>
      <c r="J104" s="5">
        <v>38</v>
      </c>
      <c r="K104" s="12">
        <v>4250000</v>
      </c>
      <c r="L104" s="6">
        <v>58</v>
      </c>
      <c r="M104" s="5"/>
      <c r="N104" s="5"/>
      <c r="O104" s="10">
        <v>209</v>
      </c>
      <c r="P104" s="7">
        <v>4</v>
      </c>
    </row>
    <row r="105" spans="1:16" x14ac:dyDescent="0.3">
      <c r="A105" s="4" t="s">
        <v>32</v>
      </c>
      <c r="B105" s="5" t="s">
        <v>23</v>
      </c>
      <c r="C105" s="5" t="s">
        <v>13</v>
      </c>
      <c r="D105" s="5" t="s">
        <v>7</v>
      </c>
      <c r="E105" s="5" t="s">
        <v>8</v>
      </c>
      <c r="F105" s="5" t="s">
        <v>10</v>
      </c>
      <c r="G105" s="5">
        <v>380</v>
      </c>
      <c r="H105" s="5">
        <v>11</v>
      </c>
      <c r="I105" s="10">
        <f t="shared" si="16"/>
        <v>89320</v>
      </c>
      <c r="J105" s="5">
        <v>55</v>
      </c>
      <c r="K105" s="12">
        <v>4250000</v>
      </c>
      <c r="L105" s="6">
        <v>77</v>
      </c>
      <c r="M105" s="5"/>
      <c r="N105" s="5"/>
      <c r="O105" s="10">
        <v>290</v>
      </c>
      <c r="P105" s="7">
        <v>4</v>
      </c>
    </row>
    <row r="106" spans="1:16" x14ac:dyDescent="0.3">
      <c r="A106" s="4" t="s">
        <v>32</v>
      </c>
      <c r="B106" s="5" t="s">
        <v>23</v>
      </c>
      <c r="C106" s="5" t="s">
        <v>13</v>
      </c>
      <c r="D106" s="5" t="s">
        <v>5</v>
      </c>
      <c r="E106" s="5" t="s">
        <v>8</v>
      </c>
      <c r="F106" s="5" t="s">
        <v>11</v>
      </c>
      <c r="G106" s="5">
        <v>380</v>
      </c>
      <c r="H106" s="5">
        <v>1</v>
      </c>
      <c r="I106" s="10">
        <f t="shared" si="16"/>
        <v>9724</v>
      </c>
      <c r="J106" s="5">
        <v>55</v>
      </c>
      <c r="K106" s="12">
        <v>4250000</v>
      </c>
      <c r="L106" s="6">
        <f t="shared" ref="L106:L108" si="17">J106*1.3</f>
        <v>71.5</v>
      </c>
      <c r="M106" s="5"/>
      <c r="N106" s="5"/>
      <c r="O106" s="10">
        <v>34</v>
      </c>
      <c r="P106" s="7">
        <v>4</v>
      </c>
    </row>
    <row r="107" spans="1:16" x14ac:dyDescent="0.3">
      <c r="A107" s="4" t="s">
        <v>32</v>
      </c>
      <c r="B107" s="5" t="s">
        <v>23</v>
      </c>
      <c r="C107" s="5" t="s">
        <v>13</v>
      </c>
      <c r="D107" s="5" t="s">
        <v>6</v>
      </c>
      <c r="E107" s="5" t="s">
        <v>8</v>
      </c>
      <c r="F107" s="5" t="s">
        <v>11</v>
      </c>
      <c r="G107" s="5">
        <v>380</v>
      </c>
      <c r="H107" s="5">
        <v>1</v>
      </c>
      <c r="I107" s="10">
        <f t="shared" si="16"/>
        <v>11460.8</v>
      </c>
      <c r="J107" s="5">
        <v>38</v>
      </c>
      <c r="K107" s="12">
        <v>4250000</v>
      </c>
      <c r="L107" s="6">
        <f t="shared" si="17"/>
        <v>49.4</v>
      </c>
      <c r="M107" s="5"/>
      <c r="N107" s="5"/>
      <c r="O107" s="10">
        <v>58</v>
      </c>
      <c r="P107" s="7">
        <v>4</v>
      </c>
    </row>
    <row r="108" spans="1:16" x14ac:dyDescent="0.3">
      <c r="A108" s="4" t="s">
        <v>32</v>
      </c>
      <c r="B108" s="5" t="s">
        <v>23</v>
      </c>
      <c r="C108" s="5" t="s">
        <v>13</v>
      </c>
      <c r="D108" s="5" t="s">
        <v>7</v>
      </c>
      <c r="E108" s="5" t="s">
        <v>8</v>
      </c>
      <c r="F108" s="5" t="s">
        <v>11</v>
      </c>
      <c r="G108" s="5">
        <v>380</v>
      </c>
      <c r="H108" s="5">
        <v>11</v>
      </c>
      <c r="I108" s="10">
        <f t="shared" si="16"/>
        <v>8580</v>
      </c>
      <c r="J108" s="5">
        <v>55</v>
      </c>
      <c r="K108" s="12">
        <v>4250000</v>
      </c>
      <c r="L108" s="6">
        <f t="shared" si="17"/>
        <v>71.5</v>
      </c>
      <c r="M108" s="5"/>
      <c r="N108" s="5"/>
      <c r="O108" s="10">
        <v>30</v>
      </c>
      <c r="P108" s="7">
        <v>4</v>
      </c>
    </row>
    <row r="109" spans="1:16" x14ac:dyDescent="0.3">
      <c r="A109" s="4" t="s">
        <v>32</v>
      </c>
      <c r="B109" s="5" t="s">
        <v>24</v>
      </c>
      <c r="C109" s="5" t="s">
        <v>12</v>
      </c>
      <c r="D109" s="5" t="s">
        <v>5</v>
      </c>
      <c r="E109" s="5" t="s">
        <v>8</v>
      </c>
      <c r="F109" s="5" t="s">
        <v>9</v>
      </c>
      <c r="G109" s="5">
        <v>43</v>
      </c>
      <c r="H109" s="5">
        <v>6</v>
      </c>
      <c r="I109" s="10">
        <f>L109*O109</f>
        <v>21600</v>
      </c>
      <c r="J109" s="5">
        <v>16</v>
      </c>
      <c r="K109" s="12">
        <v>2333333.3333333302</v>
      </c>
      <c r="L109" s="6">
        <v>18</v>
      </c>
      <c r="M109" s="5"/>
      <c r="N109" s="5"/>
      <c r="O109" s="10">
        <v>1200</v>
      </c>
      <c r="P109" s="7"/>
    </row>
    <row r="110" spans="1:16" x14ac:dyDescent="0.3">
      <c r="A110" s="4" t="s">
        <v>32</v>
      </c>
      <c r="B110" s="5" t="s">
        <v>24</v>
      </c>
      <c r="C110" s="5" t="s">
        <v>12</v>
      </c>
      <c r="D110" s="5" t="s">
        <v>6</v>
      </c>
      <c r="E110" s="5" t="s">
        <v>8</v>
      </c>
      <c r="F110" s="5" t="s">
        <v>9</v>
      </c>
      <c r="G110" s="5">
        <v>43</v>
      </c>
      <c r="H110" s="5">
        <v>6</v>
      </c>
      <c r="I110" s="10">
        <f>L110*O110</f>
        <v>27080</v>
      </c>
      <c r="J110" s="5">
        <v>13</v>
      </c>
      <c r="K110" s="12">
        <v>2333333.3333333302</v>
      </c>
      <c r="L110" s="6">
        <v>20</v>
      </c>
      <c r="M110" s="5"/>
      <c r="N110" s="5"/>
      <c r="O110" s="10">
        <v>1354</v>
      </c>
      <c r="P110" s="7"/>
    </row>
    <row r="111" spans="1:16" x14ac:dyDescent="0.3">
      <c r="A111" s="4" t="s">
        <v>32</v>
      </c>
      <c r="B111" s="5" t="s">
        <v>24</v>
      </c>
      <c r="C111" s="5" t="s">
        <v>12</v>
      </c>
      <c r="D111" s="5" t="s">
        <v>7</v>
      </c>
      <c r="E111" s="5" t="s">
        <v>8</v>
      </c>
      <c r="F111" s="5" t="s">
        <v>9</v>
      </c>
      <c r="G111" s="5">
        <v>43</v>
      </c>
      <c r="H111" s="5">
        <v>11</v>
      </c>
      <c r="I111" s="10">
        <f>L111*O111</f>
        <v>22838</v>
      </c>
      <c r="J111" s="5">
        <v>16</v>
      </c>
      <c r="K111" s="12">
        <v>2333333.3333333302</v>
      </c>
      <c r="L111" s="6">
        <v>19</v>
      </c>
      <c r="M111" s="5"/>
      <c r="N111" s="5"/>
      <c r="O111" s="10">
        <v>1202</v>
      </c>
      <c r="P111" s="7"/>
    </row>
    <row r="112" spans="1:16" x14ac:dyDescent="0.3">
      <c r="A112" s="4" t="s">
        <v>32</v>
      </c>
      <c r="B112" s="5" t="s">
        <v>24</v>
      </c>
      <c r="C112" s="5" t="s">
        <v>12</v>
      </c>
      <c r="D112" s="5" t="s">
        <v>5</v>
      </c>
      <c r="E112" s="5" t="s">
        <v>8</v>
      </c>
      <c r="F112" s="5" t="s">
        <v>10</v>
      </c>
      <c r="G112" s="5">
        <v>43</v>
      </c>
      <c r="H112" s="5">
        <v>6</v>
      </c>
      <c r="I112" s="10">
        <f t="shared" ref="I112:I117" si="18">L112*O112*P112</f>
        <v>22320</v>
      </c>
      <c r="J112" s="5">
        <v>16</v>
      </c>
      <c r="K112" s="12">
        <v>2333333.3333333302</v>
      </c>
      <c r="L112" s="6">
        <v>18</v>
      </c>
      <c r="M112" s="5"/>
      <c r="N112" s="5"/>
      <c r="O112" s="10">
        <v>310</v>
      </c>
      <c r="P112" s="7">
        <v>4</v>
      </c>
    </row>
    <row r="113" spans="1:16" x14ac:dyDescent="0.3">
      <c r="A113" s="4" t="s">
        <v>32</v>
      </c>
      <c r="B113" s="5" t="s">
        <v>24</v>
      </c>
      <c r="C113" s="5" t="s">
        <v>12</v>
      </c>
      <c r="D113" s="5" t="s">
        <v>6</v>
      </c>
      <c r="E113" s="5" t="s">
        <v>8</v>
      </c>
      <c r="F113" s="5" t="s">
        <v>10</v>
      </c>
      <c r="G113" s="5">
        <v>43</v>
      </c>
      <c r="H113" s="5">
        <v>6</v>
      </c>
      <c r="I113" s="10">
        <f t="shared" si="18"/>
        <v>23200</v>
      </c>
      <c r="J113" s="5">
        <v>13</v>
      </c>
      <c r="K113" s="12">
        <v>2333333.3333333302</v>
      </c>
      <c r="L113" s="6">
        <v>20</v>
      </c>
      <c r="M113" s="5"/>
      <c r="N113" s="5"/>
      <c r="O113" s="10">
        <v>290</v>
      </c>
      <c r="P113" s="7">
        <v>4</v>
      </c>
    </row>
    <row r="114" spans="1:16" x14ac:dyDescent="0.3">
      <c r="A114" s="4" t="s">
        <v>32</v>
      </c>
      <c r="B114" s="5" t="s">
        <v>24</v>
      </c>
      <c r="C114" s="5" t="s">
        <v>12</v>
      </c>
      <c r="D114" s="5" t="s">
        <v>7</v>
      </c>
      <c r="E114" s="5" t="s">
        <v>8</v>
      </c>
      <c r="F114" s="5" t="s">
        <v>10</v>
      </c>
      <c r="G114" s="5">
        <v>43</v>
      </c>
      <c r="H114" s="5">
        <v>11</v>
      </c>
      <c r="I114" s="10">
        <f t="shared" si="18"/>
        <v>24320</v>
      </c>
      <c r="J114" s="5">
        <v>16</v>
      </c>
      <c r="K114" s="12">
        <v>2333333.3333333302</v>
      </c>
      <c r="L114" s="6">
        <v>19</v>
      </c>
      <c r="M114" s="5"/>
      <c r="N114" s="5"/>
      <c r="O114" s="10">
        <v>320</v>
      </c>
      <c r="P114" s="7">
        <v>4</v>
      </c>
    </row>
    <row r="115" spans="1:16" x14ac:dyDescent="0.3">
      <c r="A115" s="4" t="s">
        <v>32</v>
      </c>
      <c r="B115" s="5" t="s">
        <v>24</v>
      </c>
      <c r="C115" s="5" t="s">
        <v>12</v>
      </c>
      <c r="D115" s="5" t="s">
        <v>5</v>
      </c>
      <c r="E115" s="5" t="s">
        <v>8</v>
      </c>
      <c r="F115" s="5" t="s">
        <v>11</v>
      </c>
      <c r="G115" s="5">
        <v>43</v>
      </c>
      <c r="H115" s="5">
        <v>6</v>
      </c>
      <c r="I115" s="10">
        <f t="shared" si="18"/>
        <v>2995.2000000000003</v>
      </c>
      <c r="J115" s="5">
        <v>16</v>
      </c>
      <c r="K115" s="12">
        <v>2333333.3333333302</v>
      </c>
      <c r="L115" s="6">
        <f t="shared" ref="L115:L117" si="19">J115*1.3</f>
        <v>20.8</v>
      </c>
      <c r="M115" s="5"/>
      <c r="N115" s="5"/>
      <c r="O115" s="10">
        <v>36</v>
      </c>
      <c r="P115" s="7">
        <v>4</v>
      </c>
    </row>
    <row r="116" spans="1:16" x14ac:dyDescent="0.3">
      <c r="A116" s="4" t="s">
        <v>32</v>
      </c>
      <c r="B116" s="5" t="s">
        <v>24</v>
      </c>
      <c r="C116" s="5" t="s">
        <v>12</v>
      </c>
      <c r="D116" s="5" t="s">
        <v>6</v>
      </c>
      <c r="E116" s="5" t="s">
        <v>8</v>
      </c>
      <c r="F116" s="5" t="s">
        <v>11</v>
      </c>
      <c r="G116" s="5">
        <v>43</v>
      </c>
      <c r="H116" s="5">
        <v>6</v>
      </c>
      <c r="I116" s="10">
        <f t="shared" si="18"/>
        <v>2568.8000000000002</v>
      </c>
      <c r="J116" s="5">
        <v>13</v>
      </c>
      <c r="K116" s="12">
        <v>2333333.3333333302</v>
      </c>
      <c r="L116" s="6">
        <f t="shared" si="19"/>
        <v>16.900000000000002</v>
      </c>
      <c r="M116" s="5"/>
      <c r="N116" s="5"/>
      <c r="O116" s="10">
        <v>38</v>
      </c>
      <c r="P116" s="7">
        <v>4</v>
      </c>
    </row>
    <row r="117" spans="1:16" x14ac:dyDescent="0.3">
      <c r="A117" s="4" t="s">
        <v>32</v>
      </c>
      <c r="B117" s="5" t="s">
        <v>24</v>
      </c>
      <c r="C117" s="5" t="s">
        <v>12</v>
      </c>
      <c r="D117" s="5" t="s">
        <v>7</v>
      </c>
      <c r="E117" s="5" t="s">
        <v>8</v>
      </c>
      <c r="F117" s="5" t="s">
        <v>11</v>
      </c>
      <c r="G117" s="5">
        <v>43</v>
      </c>
      <c r="H117" s="5">
        <v>11</v>
      </c>
      <c r="I117" s="10">
        <f t="shared" si="18"/>
        <v>3328</v>
      </c>
      <c r="J117" s="5">
        <v>16</v>
      </c>
      <c r="K117" s="12">
        <v>2333333.3333333302</v>
      </c>
      <c r="L117" s="6">
        <f t="shared" si="19"/>
        <v>20.8</v>
      </c>
      <c r="M117" s="5"/>
      <c r="N117" s="5"/>
      <c r="O117" s="10">
        <v>40</v>
      </c>
      <c r="P117" s="7">
        <v>4</v>
      </c>
    </row>
    <row r="118" spans="1:16" x14ac:dyDescent="0.3">
      <c r="A118" s="4" t="s">
        <v>32</v>
      </c>
      <c r="B118" s="5" t="s">
        <v>24</v>
      </c>
      <c r="C118" s="5" t="s">
        <v>13</v>
      </c>
      <c r="D118" s="5" t="s">
        <v>5</v>
      </c>
      <c r="E118" s="5" t="s">
        <v>8</v>
      </c>
      <c r="F118" s="5" t="s">
        <v>9</v>
      </c>
      <c r="G118" s="5">
        <v>123</v>
      </c>
      <c r="H118" s="5">
        <v>7</v>
      </c>
      <c r="I118" s="10">
        <f>L118*O118</f>
        <v>13500</v>
      </c>
      <c r="J118" s="5">
        <v>71</v>
      </c>
      <c r="K118" s="12">
        <v>2333333.3333333302</v>
      </c>
      <c r="L118" s="6">
        <v>10</v>
      </c>
      <c r="M118" s="5"/>
      <c r="N118" s="5"/>
      <c r="O118" s="10">
        <v>1350</v>
      </c>
      <c r="P118" s="7"/>
    </row>
    <row r="119" spans="1:16" x14ac:dyDescent="0.3">
      <c r="A119" s="4" t="s">
        <v>32</v>
      </c>
      <c r="B119" s="5" t="s">
        <v>24</v>
      </c>
      <c r="C119" s="5" t="s">
        <v>13</v>
      </c>
      <c r="D119" s="5" t="s">
        <v>6</v>
      </c>
      <c r="E119" s="5" t="s">
        <v>8</v>
      </c>
      <c r="F119" s="5" t="s">
        <v>9</v>
      </c>
      <c r="G119" s="5">
        <v>123</v>
      </c>
      <c r="H119" s="5">
        <v>7</v>
      </c>
      <c r="I119" s="10">
        <f>L119*O119</f>
        <v>13673</v>
      </c>
      <c r="J119" s="5">
        <v>92</v>
      </c>
      <c r="K119" s="12">
        <v>2333333.3333333302</v>
      </c>
      <c r="L119" s="6">
        <v>11</v>
      </c>
      <c r="M119" s="5"/>
      <c r="N119" s="5"/>
      <c r="O119" s="10">
        <v>1243</v>
      </c>
      <c r="P119" s="7"/>
    </row>
    <row r="120" spans="1:16" x14ac:dyDescent="0.3">
      <c r="A120" s="4" t="s">
        <v>32</v>
      </c>
      <c r="B120" s="5" t="s">
        <v>24</v>
      </c>
      <c r="C120" s="5" t="s">
        <v>13</v>
      </c>
      <c r="D120" s="5" t="s">
        <v>7</v>
      </c>
      <c r="E120" s="5" t="s">
        <v>8</v>
      </c>
      <c r="F120" s="5" t="s">
        <v>9</v>
      </c>
      <c r="G120" s="5">
        <v>123</v>
      </c>
      <c r="H120" s="5">
        <v>12</v>
      </c>
      <c r="I120" s="10">
        <f>L120*O120</f>
        <v>11456</v>
      </c>
      <c r="J120" s="5">
        <v>64</v>
      </c>
      <c r="K120" s="12">
        <v>2333333.3333333302</v>
      </c>
      <c r="L120" s="6">
        <v>8</v>
      </c>
      <c r="M120" s="5"/>
      <c r="N120" s="5"/>
      <c r="O120" s="10">
        <v>1432</v>
      </c>
      <c r="P120" s="7"/>
    </row>
    <row r="121" spans="1:16" x14ac:dyDescent="0.3">
      <c r="A121" s="4" t="s">
        <v>32</v>
      </c>
      <c r="B121" s="5" t="s">
        <v>24</v>
      </c>
      <c r="C121" s="5" t="s">
        <v>13</v>
      </c>
      <c r="D121" s="5" t="s">
        <v>5</v>
      </c>
      <c r="E121" s="5" t="s">
        <v>8</v>
      </c>
      <c r="F121" s="5" t="s">
        <v>10</v>
      </c>
      <c r="G121" s="5">
        <v>123</v>
      </c>
      <c r="H121" s="5">
        <v>7</v>
      </c>
      <c r="I121" s="10">
        <f t="shared" ref="I121:I126" si="20">L121*O121*P121</f>
        <v>5200</v>
      </c>
      <c r="J121" s="5">
        <v>71</v>
      </c>
      <c r="K121" s="12">
        <v>2333333.3333333302</v>
      </c>
      <c r="L121" s="6">
        <v>10</v>
      </c>
      <c r="M121" s="5"/>
      <c r="N121" s="5"/>
      <c r="O121" s="10">
        <v>130</v>
      </c>
      <c r="P121" s="7">
        <v>4</v>
      </c>
    </row>
    <row r="122" spans="1:16" x14ac:dyDescent="0.3">
      <c r="A122" s="4" t="s">
        <v>32</v>
      </c>
      <c r="B122" s="5" t="s">
        <v>24</v>
      </c>
      <c r="C122" s="5" t="s">
        <v>13</v>
      </c>
      <c r="D122" s="5" t="s">
        <v>6</v>
      </c>
      <c r="E122" s="5" t="s">
        <v>8</v>
      </c>
      <c r="F122" s="5" t="s">
        <v>10</v>
      </c>
      <c r="G122" s="5">
        <v>123</v>
      </c>
      <c r="H122" s="5">
        <v>7</v>
      </c>
      <c r="I122" s="10">
        <f t="shared" si="20"/>
        <v>5676</v>
      </c>
      <c r="J122" s="5">
        <v>92</v>
      </c>
      <c r="K122" s="12">
        <v>2333333.3333333302</v>
      </c>
      <c r="L122" s="6">
        <v>11</v>
      </c>
      <c r="M122" s="5"/>
      <c r="N122" s="5"/>
      <c r="O122" s="10">
        <v>129</v>
      </c>
      <c r="P122" s="7">
        <v>4</v>
      </c>
    </row>
    <row r="123" spans="1:16" x14ac:dyDescent="0.3">
      <c r="A123" s="4" t="s">
        <v>32</v>
      </c>
      <c r="B123" s="5" t="s">
        <v>24</v>
      </c>
      <c r="C123" s="5" t="s">
        <v>13</v>
      </c>
      <c r="D123" s="5" t="s">
        <v>7</v>
      </c>
      <c r="E123" s="5" t="s">
        <v>8</v>
      </c>
      <c r="F123" s="5" t="s">
        <v>10</v>
      </c>
      <c r="G123" s="5">
        <v>123</v>
      </c>
      <c r="H123" s="5">
        <v>12</v>
      </c>
      <c r="I123" s="10">
        <f t="shared" si="20"/>
        <v>4480</v>
      </c>
      <c r="J123" s="5">
        <v>64</v>
      </c>
      <c r="K123" s="12">
        <v>2333333.3333333302</v>
      </c>
      <c r="L123" s="6">
        <v>8</v>
      </c>
      <c r="M123" s="5"/>
      <c r="N123" s="5"/>
      <c r="O123" s="10">
        <v>140</v>
      </c>
      <c r="P123" s="7">
        <v>4</v>
      </c>
    </row>
    <row r="124" spans="1:16" x14ac:dyDescent="0.3">
      <c r="A124" s="4" t="s">
        <v>32</v>
      </c>
      <c r="B124" s="5" t="s">
        <v>24</v>
      </c>
      <c r="C124" s="5" t="s">
        <v>13</v>
      </c>
      <c r="D124" s="5" t="s">
        <v>5</v>
      </c>
      <c r="E124" s="5" t="s">
        <v>8</v>
      </c>
      <c r="F124" s="5" t="s">
        <v>11</v>
      </c>
      <c r="G124" s="5">
        <v>123</v>
      </c>
      <c r="H124" s="5">
        <v>7</v>
      </c>
      <c r="I124" s="10">
        <f t="shared" si="20"/>
        <v>1548</v>
      </c>
      <c r="J124" s="5">
        <v>71</v>
      </c>
      <c r="K124" s="12">
        <v>2333333.3333333302</v>
      </c>
      <c r="L124" s="6">
        <v>9</v>
      </c>
      <c r="M124" s="5"/>
      <c r="N124" s="5"/>
      <c r="O124" s="10">
        <v>43</v>
      </c>
      <c r="P124" s="7">
        <v>4</v>
      </c>
    </row>
    <row r="125" spans="1:16" x14ac:dyDescent="0.3">
      <c r="A125" s="4" t="s">
        <v>32</v>
      </c>
      <c r="B125" s="5" t="s">
        <v>24</v>
      </c>
      <c r="C125" s="5" t="s">
        <v>13</v>
      </c>
      <c r="D125" s="5" t="s">
        <v>6</v>
      </c>
      <c r="E125" s="5" t="s">
        <v>8</v>
      </c>
      <c r="F125" s="5" t="s">
        <v>11</v>
      </c>
      <c r="G125" s="5">
        <v>123</v>
      </c>
      <c r="H125" s="5">
        <v>7</v>
      </c>
      <c r="I125" s="10">
        <f t="shared" si="20"/>
        <v>2304</v>
      </c>
      <c r="J125" s="5">
        <v>92</v>
      </c>
      <c r="K125" s="12">
        <v>2333333.3333333302</v>
      </c>
      <c r="L125" s="6">
        <v>12</v>
      </c>
      <c r="M125" s="5"/>
      <c r="N125" s="5"/>
      <c r="O125" s="10">
        <v>48</v>
      </c>
      <c r="P125" s="7">
        <v>4</v>
      </c>
    </row>
    <row r="126" spans="1:16" x14ac:dyDescent="0.3">
      <c r="A126" s="4" t="s">
        <v>32</v>
      </c>
      <c r="B126" s="5" t="s">
        <v>24</v>
      </c>
      <c r="C126" s="5" t="s">
        <v>13</v>
      </c>
      <c r="D126" s="5" t="s">
        <v>7</v>
      </c>
      <c r="E126" s="5" t="s">
        <v>8</v>
      </c>
      <c r="F126" s="5" t="s">
        <v>11</v>
      </c>
      <c r="G126" s="5">
        <v>123</v>
      </c>
      <c r="H126" s="5">
        <v>12</v>
      </c>
      <c r="I126" s="10">
        <f t="shared" si="20"/>
        <v>1024</v>
      </c>
      <c r="J126" s="5">
        <v>64</v>
      </c>
      <c r="K126" s="12">
        <v>2333333.3333333302</v>
      </c>
      <c r="L126" s="6">
        <v>8</v>
      </c>
      <c r="M126" s="5"/>
      <c r="N126" s="5"/>
      <c r="O126" s="10">
        <v>32</v>
      </c>
      <c r="P126" s="7">
        <v>4</v>
      </c>
    </row>
    <row r="127" spans="1:16" x14ac:dyDescent="0.3">
      <c r="A127" s="4" t="s">
        <v>32</v>
      </c>
      <c r="B127" s="5" t="s">
        <v>25</v>
      </c>
      <c r="C127" s="5" t="s">
        <v>12</v>
      </c>
      <c r="D127" s="5" t="s">
        <v>5</v>
      </c>
      <c r="E127" s="5" t="s">
        <v>8</v>
      </c>
      <c r="F127" s="5" t="s">
        <v>9</v>
      </c>
      <c r="G127" s="5">
        <v>35</v>
      </c>
      <c r="H127" s="5">
        <v>5</v>
      </c>
      <c r="I127" s="10">
        <f>L127*O127</f>
        <v>24752</v>
      </c>
      <c r="J127" s="5">
        <v>12</v>
      </c>
      <c r="K127" s="12">
        <v>3416666.66666666</v>
      </c>
      <c r="L127" s="6">
        <v>17</v>
      </c>
      <c r="M127" s="5"/>
      <c r="N127" s="5"/>
      <c r="O127" s="10">
        <v>1456</v>
      </c>
      <c r="P127" s="7"/>
    </row>
    <row r="128" spans="1:16" x14ac:dyDescent="0.3">
      <c r="A128" s="4" t="s">
        <v>32</v>
      </c>
      <c r="B128" s="5" t="s">
        <v>25</v>
      </c>
      <c r="C128" s="5" t="s">
        <v>12</v>
      </c>
      <c r="D128" s="5" t="s">
        <v>6</v>
      </c>
      <c r="E128" s="5" t="s">
        <v>8</v>
      </c>
      <c r="F128" s="5" t="s">
        <v>9</v>
      </c>
      <c r="G128" s="5">
        <v>35</v>
      </c>
      <c r="H128" s="5">
        <v>5</v>
      </c>
      <c r="I128" s="10">
        <f>L128*O128</f>
        <v>17276</v>
      </c>
      <c r="J128" s="5">
        <v>10</v>
      </c>
      <c r="K128" s="12">
        <v>3416666.66666666</v>
      </c>
      <c r="L128" s="6">
        <v>14</v>
      </c>
      <c r="M128" s="5"/>
      <c r="N128" s="5"/>
      <c r="O128" s="10">
        <v>1234</v>
      </c>
      <c r="P128" s="7"/>
    </row>
    <row r="129" spans="1:16" x14ac:dyDescent="0.3">
      <c r="A129" s="4" t="s">
        <v>32</v>
      </c>
      <c r="B129" s="5" t="s">
        <v>25</v>
      </c>
      <c r="C129" s="5" t="s">
        <v>12</v>
      </c>
      <c r="D129" s="5" t="s">
        <v>7</v>
      </c>
      <c r="E129" s="5" t="s">
        <v>8</v>
      </c>
      <c r="F129" s="5" t="s">
        <v>9</v>
      </c>
      <c r="G129" s="5">
        <v>35</v>
      </c>
      <c r="H129" s="5">
        <v>10</v>
      </c>
      <c r="I129" s="10">
        <f>L129*O129</f>
        <v>17430</v>
      </c>
      <c r="J129" s="5">
        <v>13</v>
      </c>
      <c r="K129" s="12">
        <v>3416666.66666666</v>
      </c>
      <c r="L129" s="6">
        <v>14</v>
      </c>
      <c r="M129" s="5"/>
      <c r="N129" s="5"/>
      <c r="O129" s="10">
        <v>1245</v>
      </c>
      <c r="P129" s="7"/>
    </row>
    <row r="130" spans="1:16" x14ac:dyDescent="0.3">
      <c r="A130" s="4" t="s">
        <v>32</v>
      </c>
      <c r="B130" s="5" t="s">
        <v>25</v>
      </c>
      <c r="C130" s="5" t="s">
        <v>12</v>
      </c>
      <c r="D130" s="5" t="s">
        <v>5</v>
      </c>
      <c r="E130" s="5" t="s">
        <v>8</v>
      </c>
      <c r="F130" s="5" t="s">
        <v>10</v>
      </c>
      <c r="G130" s="5">
        <v>35</v>
      </c>
      <c r="H130" s="5">
        <v>5</v>
      </c>
      <c r="I130" s="10">
        <f t="shared" ref="I130:I135" si="21">L130*O130*P130</f>
        <v>16660</v>
      </c>
      <c r="J130" s="5">
        <v>12</v>
      </c>
      <c r="K130" s="12">
        <v>3416666.66666666</v>
      </c>
      <c r="L130" s="6">
        <v>17</v>
      </c>
      <c r="M130" s="5"/>
      <c r="N130" s="5"/>
      <c r="O130" s="10">
        <v>245</v>
      </c>
      <c r="P130" s="7">
        <v>4</v>
      </c>
    </row>
    <row r="131" spans="1:16" x14ac:dyDescent="0.3">
      <c r="A131" s="4" t="s">
        <v>32</v>
      </c>
      <c r="B131" s="5" t="s">
        <v>25</v>
      </c>
      <c r="C131" s="5" t="s">
        <v>12</v>
      </c>
      <c r="D131" s="5" t="s">
        <v>6</v>
      </c>
      <c r="E131" s="5" t="s">
        <v>8</v>
      </c>
      <c r="F131" s="5" t="s">
        <v>10</v>
      </c>
      <c r="G131" s="5">
        <v>35</v>
      </c>
      <c r="H131" s="5">
        <v>5</v>
      </c>
      <c r="I131" s="10">
        <f t="shared" si="21"/>
        <v>12656</v>
      </c>
      <c r="J131" s="5">
        <v>10</v>
      </c>
      <c r="K131" s="12">
        <v>3416666.66666666</v>
      </c>
      <c r="L131" s="6">
        <v>14</v>
      </c>
      <c r="M131" s="5"/>
      <c r="N131" s="5"/>
      <c r="O131" s="10">
        <v>226</v>
      </c>
      <c r="P131" s="7">
        <v>4</v>
      </c>
    </row>
    <row r="132" spans="1:16" x14ac:dyDescent="0.3">
      <c r="A132" s="4" t="s">
        <v>32</v>
      </c>
      <c r="B132" s="5" t="s">
        <v>25</v>
      </c>
      <c r="C132" s="5" t="s">
        <v>12</v>
      </c>
      <c r="D132" s="5" t="s">
        <v>7</v>
      </c>
      <c r="E132" s="5" t="s">
        <v>8</v>
      </c>
      <c r="F132" s="5" t="s">
        <v>10</v>
      </c>
      <c r="G132" s="5">
        <v>35</v>
      </c>
      <c r="H132" s="5">
        <v>10</v>
      </c>
      <c r="I132" s="10">
        <f t="shared" si="21"/>
        <v>12600</v>
      </c>
      <c r="J132" s="5">
        <v>13</v>
      </c>
      <c r="K132" s="12">
        <v>3416666.66666666</v>
      </c>
      <c r="L132" s="6">
        <v>14</v>
      </c>
      <c r="M132" s="5"/>
      <c r="N132" s="5"/>
      <c r="O132" s="10">
        <v>225</v>
      </c>
      <c r="P132" s="7">
        <v>4</v>
      </c>
    </row>
    <row r="133" spans="1:16" x14ac:dyDescent="0.3">
      <c r="A133" s="4" t="s">
        <v>32</v>
      </c>
      <c r="B133" s="5" t="s">
        <v>25</v>
      </c>
      <c r="C133" s="5" t="s">
        <v>12</v>
      </c>
      <c r="D133" s="5" t="s">
        <v>5</v>
      </c>
      <c r="E133" s="5" t="s">
        <v>8</v>
      </c>
      <c r="F133" s="5" t="s">
        <v>11</v>
      </c>
      <c r="G133" s="5">
        <v>35</v>
      </c>
      <c r="H133" s="5">
        <v>5</v>
      </c>
      <c r="I133" s="10">
        <f t="shared" si="21"/>
        <v>2121.6000000000004</v>
      </c>
      <c r="J133" s="5">
        <v>12</v>
      </c>
      <c r="K133" s="12">
        <v>3416666.66666666</v>
      </c>
      <c r="L133" s="6">
        <f t="shared" ref="L133:L135" si="22">J133*1.3</f>
        <v>15.600000000000001</v>
      </c>
      <c r="M133" s="5"/>
      <c r="N133" s="5"/>
      <c r="O133" s="10">
        <v>34</v>
      </c>
      <c r="P133" s="7">
        <v>4</v>
      </c>
    </row>
    <row r="134" spans="1:16" x14ac:dyDescent="0.3">
      <c r="A134" s="4" t="s">
        <v>32</v>
      </c>
      <c r="B134" s="5" t="s">
        <v>25</v>
      </c>
      <c r="C134" s="5" t="s">
        <v>12</v>
      </c>
      <c r="D134" s="5" t="s">
        <v>6</v>
      </c>
      <c r="E134" s="5" t="s">
        <v>8</v>
      </c>
      <c r="F134" s="5" t="s">
        <v>11</v>
      </c>
      <c r="G134" s="5">
        <v>35</v>
      </c>
      <c r="H134" s="5">
        <v>5</v>
      </c>
      <c r="I134" s="10">
        <f t="shared" si="21"/>
        <v>2288</v>
      </c>
      <c r="J134" s="5">
        <v>10</v>
      </c>
      <c r="K134" s="12">
        <v>3416666.66666666</v>
      </c>
      <c r="L134" s="6">
        <f t="shared" si="22"/>
        <v>13</v>
      </c>
      <c r="M134" s="5"/>
      <c r="N134" s="5"/>
      <c r="O134" s="10">
        <v>44</v>
      </c>
      <c r="P134" s="7">
        <v>4</v>
      </c>
    </row>
    <row r="135" spans="1:16" x14ac:dyDescent="0.3">
      <c r="A135" s="4" t="s">
        <v>32</v>
      </c>
      <c r="B135" s="5" t="s">
        <v>25</v>
      </c>
      <c r="C135" s="5" t="s">
        <v>12</v>
      </c>
      <c r="D135" s="5" t="s">
        <v>7</v>
      </c>
      <c r="E135" s="5" t="s">
        <v>8</v>
      </c>
      <c r="F135" s="5" t="s">
        <v>11</v>
      </c>
      <c r="G135" s="5">
        <v>35</v>
      </c>
      <c r="H135" s="5">
        <v>10</v>
      </c>
      <c r="I135" s="10">
        <f t="shared" si="21"/>
        <v>2366.0000000000005</v>
      </c>
      <c r="J135" s="5">
        <v>13</v>
      </c>
      <c r="K135" s="12">
        <v>3416666.66666666</v>
      </c>
      <c r="L135" s="6">
        <f t="shared" si="22"/>
        <v>16.900000000000002</v>
      </c>
      <c r="M135" s="5"/>
      <c r="N135" s="5"/>
      <c r="O135" s="10">
        <v>35</v>
      </c>
      <c r="P135" s="7">
        <v>4</v>
      </c>
    </row>
    <row r="136" spans="1:16" x14ac:dyDescent="0.3">
      <c r="A136" s="4" t="s">
        <v>32</v>
      </c>
      <c r="B136" s="5" t="s">
        <v>25</v>
      </c>
      <c r="C136" s="5" t="s">
        <v>13</v>
      </c>
      <c r="D136" s="5" t="s">
        <v>5</v>
      </c>
      <c r="E136" s="5" t="s">
        <v>8</v>
      </c>
      <c r="F136" s="5" t="s">
        <v>9</v>
      </c>
      <c r="G136" s="5">
        <v>329</v>
      </c>
      <c r="H136" s="5">
        <v>2</v>
      </c>
      <c r="I136" s="10">
        <f>L136*O136</f>
        <v>53193</v>
      </c>
      <c r="J136" s="5">
        <v>32</v>
      </c>
      <c r="K136" s="12">
        <v>3416666.66666666</v>
      </c>
      <c r="L136" s="6">
        <v>51</v>
      </c>
      <c r="M136" s="5"/>
      <c r="N136" s="5"/>
      <c r="O136" s="10">
        <v>1043</v>
      </c>
      <c r="P136" s="7"/>
    </row>
    <row r="137" spans="1:16" x14ac:dyDescent="0.3">
      <c r="A137" s="4" t="s">
        <v>32</v>
      </c>
      <c r="B137" s="5" t="s">
        <v>25</v>
      </c>
      <c r="C137" s="5" t="s">
        <v>13</v>
      </c>
      <c r="D137" s="5" t="s">
        <v>6</v>
      </c>
      <c r="E137" s="5" t="s">
        <v>8</v>
      </c>
      <c r="F137" s="5" t="s">
        <v>9</v>
      </c>
      <c r="G137" s="5">
        <v>329</v>
      </c>
      <c r="H137" s="5">
        <v>2</v>
      </c>
      <c r="I137" s="10">
        <f>L137*O137</f>
        <v>34485</v>
      </c>
      <c r="J137" s="5">
        <v>22</v>
      </c>
      <c r="K137" s="12">
        <v>3416666.66666666</v>
      </c>
      <c r="L137" s="6">
        <v>33</v>
      </c>
      <c r="M137" s="5"/>
      <c r="N137" s="5"/>
      <c r="O137" s="10">
        <v>1045</v>
      </c>
      <c r="P137" s="7"/>
    </row>
    <row r="138" spans="1:16" x14ac:dyDescent="0.3">
      <c r="A138" s="4" t="s">
        <v>32</v>
      </c>
      <c r="B138" s="5" t="s">
        <v>25</v>
      </c>
      <c r="C138" s="5" t="s">
        <v>13</v>
      </c>
      <c r="D138" s="5" t="s">
        <v>7</v>
      </c>
      <c r="E138" s="5" t="s">
        <v>8</v>
      </c>
      <c r="F138" s="5" t="s">
        <v>9</v>
      </c>
      <c r="G138" s="5">
        <v>329</v>
      </c>
      <c r="H138" s="5">
        <v>10</v>
      </c>
      <c r="I138" s="10">
        <f>L138*O138</f>
        <v>29568</v>
      </c>
      <c r="J138" s="5">
        <v>25</v>
      </c>
      <c r="K138" s="12">
        <v>3416666.66666666</v>
      </c>
      <c r="L138" s="6">
        <v>28</v>
      </c>
      <c r="M138" s="5"/>
      <c r="N138" s="5"/>
      <c r="O138" s="10">
        <v>1056</v>
      </c>
      <c r="P138" s="7"/>
    </row>
    <row r="139" spans="1:16" x14ac:dyDescent="0.3">
      <c r="A139" s="4" t="s">
        <v>32</v>
      </c>
      <c r="B139" s="5" t="s">
        <v>25</v>
      </c>
      <c r="C139" s="5" t="s">
        <v>13</v>
      </c>
      <c r="D139" s="5" t="s">
        <v>5</v>
      </c>
      <c r="E139" s="5" t="s">
        <v>8</v>
      </c>
      <c r="F139" s="5" t="s">
        <v>10</v>
      </c>
      <c r="G139" s="5">
        <v>329</v>
      </c>
      <c r="H139" s="5">
        <v>2</v>
      </c>
      <c r="I139" s="10">
        <f t="shared" ref="I139:I144" si="23">L139*O139*P139</f>
        <v>29274</v>
      </c>
      <c r="J139" s="5">
        <v>32</v>
      </c>
      <c r="K139" s="12">
        <v>3416666.66666666</v>
      </c>
      <c r="L139" s="6">
        <v>51</v>
      </c>
      <c r="M139" s="5"/>
      <c r="N139" s="5"/>
      <c r="O139" s="10">
        <v>287</v>
      </c>
      <c r="P139" s="7">
        <v>2</v>
      </c>
    </row>
    <row r="140" spans="1:16" x14ac:dyDescent="0.3">
      <c r="A140" s="4" t="s">
        <v>32</v>
      </c>
      <c r="B140" s="5" t="s">
        <v>25</v>
      </c>
      <c r="C140" s="5" t="s">
        <v>13</v>
      </c>
      <c r="D140" s="5" t="s">
        <v>6</v>
      </c>
      <c r="E140" s="5" t="s">
        <v>8</v>
      </c>
      <c r="F140" s="5" t="s">
        <v>10</v>
      </c>
      <c r="G140" s="5">
        <v>329</v>
      </c>
      <c r="H140" s="5">
        <v>2</v>
      </c>
      <c r="I140" s="10">
        <f t="shared" si="23"/>
        <v>18348</v>
      </c>
      <c r="J140" s="5">
        <v>22</v>
      </c>
      <c r="K140" s="12">
        <v>3416666.66666666</v>
      </c>
      <c r="L140" s="6">
        <v>33</v>
      </c>
      <c r="M140" s="5"/>
      <c r="N140" s="5"/>
      <c r="O140" s="10">
        <v>278</v>
      </c>
      <c r="P140" s="7">
        <v>2</v>
      </c>
    </row>
    <row r="141" spans="1:16" x14ac:dyDescent="0.3">
      <c r="A141" s="4" t="s">
        <v>32</v>
      </c>
      <c r="B141" s="5" t="s">
        <v>25</v>
      </c>
      <c r="C141" s="5" t="s">
        <v>13</v>
      </c>
      <c r="D141" s="5" t="s">
        <v>7</v>
      </c>
      <c r="E141" s="5" t="s">
        <v>8</v>
      </c>
      <c r="F141" s="5" t="s">
        <v>10</v>
      </c>
      <c r="G141" s="5">
        <v>329</v>
      </c>
      <c r="H141" s="5">
        <v>10</v>
      </c>
      <c r="I141" s="10">
        <f t="shared" si="23"/>
        <v>13720</v>
      </c>
      <c r="J141" s="5">
        <v>25</v>
      </c>
      <c r="K141" s="12">
        <v>3416666.66666666</v>
      </c>
      <c r="L141" s="6">
        <v>28</v>
      </c>
      <c r="M141" s="5"/>
      <c r="N141" s="5"/>
      <c r="O141" s="10">
        <v>245</v>
      </c>
      <c r="P141" s="7">
        <v>2</v>
      </c>
    </row>
    <row r="142" spans="1:16" x14ac:dyDescent="0.3">
      <c r="A142" s="4" t="s">
        <v>32</v>
      </c>
      <c r="B142" s="5" t="s">
        <v>25</v>
      </c>
      <c r="C142" s="5" t="s">
        <v>13</v>
      </c>
      <c r="D142" s="5" t="s">
        <v>5</v>
      </c>
      <c r="E142" s="5" t="s">
        <v>8</v>
      </c>
      <c r="F142" s="5" t="s">
        <v>11</v>
      </c>
      <c r="G142" s="5">
        <v>329</v>
      </c>
      <c r="H142" s="5">
        <v>2</v>
      </c>
      <c r="I142" s="10">
        <f t="shared" si="23"/>
        <v>3696</v>
      </c>
      <c r="J142" s="5">
        <v>32</v>
      </c>
      <c r="K142" s="12">
        <v>3416666.66666666</v>
      </c>
      <c r="L142" s="6">
        <v>42</v>
      </c>
      <c r="M142" s="5"/>
      <c r="N142" s="5"/>
      <c r="O142" s="10">
        <v>44</v>
      </c>
      <c r="P142" s="7">
        <v>2</v>
      </c>
    </row>
    <row r="143" spans="1:16" x14ac:dyDescent="0.3">
      <c r="A143" s="4" t="s">
        <v>32</v>
      </c>
      <c r="B143" s="5" t="s">
        <v>25</v>
      </c>
      <c r="C143" s="5" t="s">
        <v>13</v>
      </c>
      <c r="D143" s="5" t="s">
        <v>6</v>
      </c>
      <c r="E143" s="5" t="s">
        <v>8</v>
      </c>
      <c r="F143" s="5" t="s">
        <v>11</v>
      </c>
      <c r="G143" s="5">
        <v>329</v>
      </c>
      <c r="H143" s="5">
        <v>2</v>
      </c>
      <c r="I143" s="10">
        <f t="shared" si="23"/>
        <v>2059.2000000000003</v>
      </c>
      <c r="J143" s="5">
        <v>22</v>
      </c>
      <c r="K143" s="12">
        <v>3416666.66666666</v>
      </c>
      <c r="L143" s="6">
        <f t="shared" ref="L143:L144" si="24">J143*1.3</f>
        <v>28.6</v>
      </c>
      <c r="M143" s="5"/>
      <c r="N143" s="5"/>
      <c r="O143" s="10">
        <v>36</v>
      </c>
      <c r="P143" s="7">
        <v>2</v>
      </c>
    </row>
    <row r="144" spans="1:16" x14ac:dyDescent="0.3">
      <c r="A144" s="4" t="s">
        <v>32</v>
      </c>
      <c r="B144" s="5" t="s">
        <v>25</v>
      </c>
      <c r="C144" s="5" t="s">
        <v>13</v>
      </c>
      <c r="D144" s="5" t="s">
        <v>7</v>
      </c>
      <c r="E144" s="5" t="s">
        <v>8</v>
      </c>
      <c r="F144" s="5" t="s">
        <v>11</v>
      </c>
      <c r="G144" s="5">
        <v>329</v>
      </c>
      <c r="H144" s="5">
        <v>10</v>
      </c>
      <c r="I144" s="10">
        <f t="shared" si="23"/>
        <v>3380</v>
      </c>
      <c r="J144" s="5">
        <v>25</v>
      </c>
      <c r="K144" s="12">
        <v>3416666.66666666</v>
      </c>
      <c r="L144" s="6">
        <f t="shared" si="24"/>
        <v>32.5</v>
      </c>
      <c r="M144" s="5"/>
      <c r="N144" s="5"/>
      <c r="O144" s="10">
        <v>52</v>
      </c>
      <c r="P144" s="7">
        <v>2</v>
      </c>
    </row>
    <row r="145" spans="1:16" x14ac:dyDescent="0.3">
      <c r="A145" s="4" t="s">
        <v>20</v>
      </c>
      <c r="B145" s="5" t="s">
        <v>21</v>
      </c>
      <c r="C145" s="5" t="s">
        <v>26</v>
      </c>
      <c r="D145" s="5" t="s">
        <v>5</v>
      </c>
      <c r="E145" s="5" t="s">
        <v>8</v>
      </c>
      <c r="F145" s="5" t="s">
        <v>9</v>
      </c>
      <c r="G145" s="5">
        <v>212</v>
      </c>
      <c r="H145" s="5">
        <v>5</v>
      </c>
      <c r="I145" s="10">
        <f>L145*O145</f>
        <v>34242</v>
      </c>
      <c r="J145" s="5">
        <v>15</v>
      </c>
      <c r="K145" s="12">
        <v>8416666.6666666605</v>
      </c>
      <c r="L145" s="6">
        <f>J145*1.3</f>
        <v>19.5</v>
      </c>
      <c r="M145" s="5"/>
      <c r="N145" s="5"/>
      <c r="O145" s="10">
        <v>1756</v>
      </c>
      <c r="P145" s="7"/>
    </row>
    <row r="146" spans="1:16" x14ac:dyDescent="0.3">
      <c r="A146" s="4" t="s">
        <v>20</v>
      </c>
      <c r="B146" s="5" t="s">
        <v>21</v>
      </c>
      <c r="C146" s="5" t="s">
        <v>26</v>
      </c>
      <c r="D146" s="5" t="s">
        <v>6</v>
      </c>
      <c r="E146" s="5" t="s">
        <v>8</v>
      </c>
      <c r="F146" s="5" t="s">
        <v>9</v>
      </c>
      <c r="G146" s="5">
        <v>212</v>
      </c>
      <c r="H146" s="5">
        <v>5</v>
      </c>
      <c r="I146" s="10">
        <f t="shared" ref="I146:I147" si="25">L146*O146</f>
        <v>31959.199999999997</v>
      </c>
      <c r="J146" s="5">
        <v>14</v>
      </c>
      <c r="K146" s="12">
        <v>8416666.6666666605</v>
      </c>
      <c r="L146" s="6">
        <f t="shared" ref="L146:L147" si="26">J146*1.3</f>
        <v>18.2</v>
      </c>
      <c r="M146" s="5"/>
      <c r="N146" s="5"/>
      <c r="O146" s="10">
        <v>1756</v>
      </c>
      <c r="P146" s="7"/>
    </row>
    <row r="147" spans="1:16" x14ac:dyDescent="0.3">
      <c r="A147" s="4" t="s">
        <v>20</v>
      </c>
      <c r="B147" s="5" t="s">
        <v>21</v>
      </c>
      <c r="C147" s="5" t="s">
        <v>26</v>
      </c>
      <c r="D147" s="5" t="s">
        <v>7</v>
      </c>
      <c r="E147" s="5" t="s">
        <v>8</v>
      </c>
      <c r="F147" s="5" t="s">
        <v>9</v>
      </c>
      <c r="G147" s="5">
        <v>212</v>
      </c>
      <c r="H147" s="5">
        <v>9</v>
      </c>
      <c r="I147" s="10">
        <f t="shared" si="25"/>
        <v>30088.5</v>
      </c>
      <c r="J147" s="5">
        <v>15</v>
      </c>
      <c r="K147" s="12">
        <v>8416666.6666666605</v>
      </c>
      <c r="L147" s="6">
        <f t="shared" si="26"/>
        <v>19.5</v>
      </c>
      <c r="M147" s="5"/>
      <c r="N147" s="5"/>
      <c r="O147" s="10">
        <v>1543</v>
      </c>
      <c r="P147" s="7"/>
    </row>
    <row r="148" spans="1:16" x14ac:dyDescent="0.3">
      <c r="A148" s="4" t="s">
        <v>20</v>
      </c>
      <c r="B148" s="5" t="s">
        <v>21</v>
      </c>
      <c r="C148" s="5" t="s">
        <v>26</v>
      </c>
      <c r="D148" s="5" t="s">
        <v>5</v>
      </c>
      <c r="E148" s="5" t="s">
        <v>8</v>
      </c>
      <c r="F148" s="5" t="s">
        <v>10</v>
      </c>
      <c r="G148" s="5">
        <v>212</v>
      </c>
      <c r="H148" s="5">
        <v>5</v>
      </c>
      <c r="I148" s="10">
        <f t="shared" ref="I148:I153" si="27">L148*O148*P148</f>
        <v>16965</v>
      </c>
      <c r="J148" s="5">
        <v>15</v>
      </c>
      <c r="K148" s="12">
        <v>8416666.6666666605</v>
      </c>
      <c r="L148" s="6">
        <f>J148*1.3</f>
        <v>19.5</v>
      </c>
      <c r="M148" s="5"/>
      <c r="N148" s="5"/>
      <c r="O148" s="10">
        <v>290</v>
      </c>
      <c r="P148" s="7">
        <v>3</v>
      </c>
    </row>
    <row r="149" spans="1:16" x14ac:dyDescent="0.3">
      <c r="A149" s="4" t="s">
        <v>20</v>
      </c>
      <c r="B149" s="5" t="s">
        <v>21</v>
      </c>
      <c r="C149" s="5" t="s">
        <v>26</v>
      </c>
      <c r="D149" s="5" t="s">
        <v>6</v>
      </c>
      <c r="E149" s="5" t="s">
        <v>8</v>
      </c>
      <c r="F149" s="5" t="s">
        <v>10</v>
      </c>
      <c r="G149" s="5">
        <v>212</v>
      </c>
      <c r="H149" s="5">
        <v>5</v>
      </c>
      <c r="I149" s="10">
        <f t="shared" si="27"/>
        <v>15670.199999999999</v>
      </c>
      <c r="J149" s="5">
        <v>14</v>
      </c>
      <c r="K149" s="12">
        <v>8416666.6666666605</v>
      </c>
      <c r="L149" s="6">
        <f t="shared" ref="L149:L153" si="28">J149*1.3</f>
        <v>18.2</v>
      </c>
      <c r="M149" s="5"/>
      <c r="N149" s="5"/>
      <c r="O149" s="10">
        <v>287</v>
      </c>
      <c r="P149" s="7">
        <v>3</v>
      </c>
    </row>
    <row r="150" spans="1:16" x14ac:dyDescent="0.3">
      <c r="A150" s="4" t="s">
        <v>20</v>
      </c>
      <c r="B150" s="5" t="s">
        <v>21</v>
      </c>
      <c r="C150" s="5" t="s">
        <v>26</v>
      </c>
      <c r="D150" s="5" t="s">
        <v>7</v>
      </c>
      <c r="E150" s="5" t="s">
        <v>8</v>
      </c>
      <c r="F150" s="5" t="s">
        <v>10</v>
      </c>
      <c r="G150" s="5">
        <v>212</v>
      </c>
      <c r="H150" s="5">
        <v>9</v>
      </c>
      <c r="I150" s="10">
        <f t="shared" si="27"/>
        <v>18135</v>
      </c>
      <c r="J150" s="5">
        <v>15</v>
      </c>
      <c r="K150" s="12">
        <v>8416666.6666666605</v>
      </c>
      <c r="L150" s="6">
        <f t="shared" si="28"/>
        <v>19.5</v>
      </c>
      <c r="M150" s="5"/>
      <c r="N150" s="5"/>
      <c r="O150" s="10">
        <v>310</v>
      </c>
      <c r="P150" s="7">
        <v>3</v>
      </c>
    </row>
    <row r="151" spans="1:16" x14ac:dyDescent="0.3">
      <c r="A151" s="4" t="s">
        <v>20</v>
      </c>
      <c r="B151" s="5" t="s">
        <v>21</v>
      </c>
      <c r="C151" s="5" t="s">
        <v>26</v>
      </c>
      <c r="D151" s="5" t="s">
        <v>5</v>
      </c>
      <c r="E151" s="5" t="s">
        <v>8</v>
      </c>
      <c r="F151" s="5" t="s">
        <v>11</v>
      </c>
      <c r="G151" s="5">
        <v>212</v>
      </c>
      <c r="H151" s="5">
        <v>5</v>
      </c>
      <c r="I151" s="10">
        <f t="shared" si="27"/>
        <v>3334.5</v>
      </c>
      <c r="J151" s="5">
        <v>15</v>
      </c>
      <c r="K151" s="12">
        <v>8416666.6666666605</v>
      </c>
      <c r="L151" s="6">
        <f t="shared" si="28"/>
        <v>19.5</v>
      </c>
      <c r="M151" s="5"/>
      <c r="N151" s="5"/>
      <c r="O151" s="10">
        <v>57</v>
      </c>
      <c r="P151" s="7">
        <v>3</v>
      </c>
    </row>
    <row r="152" spans="1:16" x14ac:dyDescent="0.3">
      <c r="A152" s="4" t="s">
        <v>20</v>
      </c>
      <c r="B152" s="5" t="s">
        <v>21</v>
      </c>
      <c r="C152" s="5" t="s">
        <v>26</v>
      </c>
      <c r="D152" s="5" t="s">
        <v>6</v>
      </c>
      <c r="E152" s="5" t="s">
        <v>8</v>
      </c>
      <c r="F152" s="5" t="s">
        <v>11</v>
      </c>
      <c r="G152" s="5">
        <v>212</v>
      </c>
      <c r="H152" s="5">
        <v>5</v>
      </c>
      <c r="I152" s="10">
        <f t="shared" si="27"/>
        <v>2784.6</v>
      </c>
      <c r="J152" s="5">
        <v>14</v>
      </c>
      <c r="K152" s="12">
        <v>8416666.6666666605</v>
      </c>
      <c r="L152" s="6">
        <f t="shared" si="28"/>
        <v>18.2</v>
      </c>
      <c r="M152" s="5"/>
      <c r="N152" s="5"/>
      <c r="O152" s="10">
        <v>51</v>
      </c>
      <c r="P152" s="7">
        <v>3</v>
      </c>
    </row>
    <row r="153" spans="1:16" x14ac:dyDescent="0.3">
      <c r="A153" s="4" t="s">
        <v>20</v>
      </c>
      <c r="B153" s="5" t="s">
        <v>21</v>
      </c>
      <c r="C153" s="5" t="s">
        <v>26</v>
      </c>
      <c r="D153" s="5" t="s">
        <v>7</v>
      </c>
      <c r="E153" s="5" t="s">
        <v>8</v>
      </c>
      <c r="F153" s="5" t="s">
        <v>11</v>
      </c>
      <c r="G153" s="5">
        <v>212</v>
      </c>
      <c r="H153" s="5">
        <v>9</v>
      </c>
      <c r="I153" s="10">
        <f t="shared" si="27"/>
        <v>3393</v>
      </c>
      <c r="J153" s="5">
        <v>15</v>
      </c>
      <c r="K153" s="12">
        <v>8416666.6666666605</v>
      </c>
      <c r="L153" s="6">
        <f t="shared" si="28"/>
        <v>19.5</v>
      </c>
      <c r="M153" s="5"/>
      <c r="N153" s="5"/>
      <c r="O153" s="10">
        <v>58</v>
      </c>
      <c r="P153" s="7">
        <v>3</v>
      </c>
    </row>
    <row r="154" spans="1:16" x14ac:dyDescent="0.3">
      <c r="A154" s="4" t="s">
        <v>20</v>
      </c>
      <c r="B154" s="5" t="s">
        <v>21</v>
      </c>
      <c r="C154" s="5" t="s">
        <v>27</v>
      </c>
      <c r="D154" s="5" t="s">
        <v>5</v>
      </c>
      <c r="E154" s="5" t="s">
        <v>8</v>
      </c>
      <c r="F154" s="5" t="s">
        <v>9</v>
      </c>
      <c r="G154" s="5">
        <v>34</v>
      </c>
      <c r="H154" s="5">
        <v>5</v>
      </c>
      <c r="I154" s="10">
        <f t="shared" ref="I154:I156" si="29">L154*O154</f>
        <v>16731</v>
      </c>
      <c r="J154" s="5">
        <v>9</v>
      </c>
      <c r="K154" s="12">
        <v>8416666.6666666605</v>
      </c>
      <c r="L154" s="6">
        <f t="shared" ref="L154:L156" si="30">J154*1.3</f>
        <v>11.700000000000001</v>
      </c>
      <c r="M154" s="5"/>
      <c r="N154" s="5"/>
      <c r="O154" s="10">
        <v>1430</v>
      </c>
      <c r="P154" s="7"/>
    </row>
    <row r="155" spans="1:16" x14ac:dyDescent="0.3">
      <c r="A155" s="4" t="s">
        <v>20</v>
      </c>
      <c r="B155" s="5" t="s">
        <v>21</v>
      </c>
      <c r="C155" s="5" t="s">
        <v>27</v>
      </c>
      <c r="D155" s="5" t="s">
        <v>6</v>
      </c>
      <c r="E155" s="5" t="s">
        <v>8</v>
      </c>
      <c r="F155" s="5" t="s">
        <v>9</v>
      </c>
      <c r="G155" s="5">
        <v>34</v>
      </c>
      <c r="H155" s="5">
        <v>7</v>
      </c>
      <c r="I155" s="10">
        <f t="shared" si="29"/>
        <v>36524.800000000003</v>
      </c>
      <c r="J155" s="5">
        <v>16</v>
      </c>
      <c r="K155" s="12">
        <v>8416666.6666666605</v>
      </c>
      <c r="L155" s="6">
        <f t="shared" si="30"/>
        <v>20.8</v>
      </c>
      <c r="M155" s="5"/>
      <c r="N155" s="5"/>
      <c r="O155" s="10">
        <v>1756</v>
      </c>
      <c r="P155" s="7"/>
    </row>
    <row r="156" spans="1:16" x14ac:dyDescent="0.3">
      <c r="A156" s="4" t="s">
        <v>20</v>
      </c>
      <c r="B156" s="5" t="s">
        <v>21</v>
      </c>
      <c r="C156" s="5" t="s">
        <v>27</v>
      </c>
      <c r="D156" s="5" t="s">
        <v>7</v>
      </c>
      <c r="E156" s="5" t="s">
        <v>8</v>
      </c>
      <c r="F156" s="5" t="s">
        <v>9</v>
      </c>
      <c r="G156" s="5">
        <v>34</v>
      </c>
      <c r="H156" s="5">
        <v>10</v>
      </c>
      <c r="I156" s="10">
        <f t="shared" si="29"/>
        <v>23595</v>
      </c>
      <c r="J156" s="5">
        <v>11</v>
      </c>
      <c r="K156" s="12">
        <v>8416666.6666666605</v>
      </c>
      <c r="L156" s="6">
        <f t="shared" si="30"/>
        <v>14.3</v>
      </c>
      <c r="M156" s="5"/>
      <c r="N156" s="5"/>
      <c r="O156" s="10">
        <v>1650</v>
      </c>
      <c r="P156" s="7"/>
    </row>
    <row r="157" spans="1:16" x14ac:dyDescent="0.3">
      <c r="A157" s="4" t="s">
        <v>20</v>
      </c>
      <c r="B157" s="5" t="s">
        <v>21</v>
      </c>
      <c r="C157" s="5" t="s">
        <v>27</v>
      </c>
      <c r="D157" s="5" t="s">
        <v>5</v>
      </c>
      <c r="E157" s="5" t="s">
        <v>8</v>
      </c>
      <c r="F157" s="5" t="s">
        <v>10</v>
      </c>
      <c r="G157" s="5">
        <v>34</v>
      </c>
      <c r="H157" s="5">
        <v>7</v>
      </c>
      <c r="I157" s="10">
        <f t="shared" ref="I157:I162" si="31">L157*O157*P157</f>
        <v>9652.5000000000018</v>
      </c>
      <c r="J157" s="5">
        <v>9</v>
      </c>
      <c r="K157" s="12">
        <v>8416666.6666666605</v>
      </c>
      <c r="L157" s="6">
        <f t="shared" ref="L157:L162" si="32">J157*1.3</f>
        <v>11.700000000000001</v>
      </c>
      <c r="M157" s="5"/>
      <c r="N157" s="5"/>
      <c r="O157" s="10">
        <v>275</v>
      </c>
      <c r="P157" s="7">
        <v>3</v>
      </c>
    </row>
    <row r="158" spans="1:16" x14ac:dyDescent="0.3">
      <c r="A158" s="4" t="s">
        <v>20</v>
      </c>
      <c r="B158" s="5" t="s">
        <v>21</v>
      </c>
      <c r="C158" s="5" t="s">
        <v>27</v>
      </c>
      <c r="D158" s="5" t="s">
        <v>6</v>
      </c>
      <c r="E158" s="5" t="s">
        <v>8</v>
      </c>
      <c r="F158" s="5" t="s">
        <v>10</v>
      </c>
      <c r="G158" s="5">
        <v>34</v>
      </c>
      <c r="H158" s="5">
        <v>7</v>
      </c>
      <c r="I158" s="10">
        <f t="shared" si="31"/>
        <v>17846.400000000001</v>
      </c>
      <c r="J158" s="5">
        <v>16</v>
      </c>
      <c r="K158" s="12">
        <v>8416666.6666666605</v>
      </c>
      <c r="L158" s="6">
        <f t="shared" si="32"/>
        <v>20.8</v>
      </c>
      <c r="M158" s="5"/>
      <c r="N158" s="5"/>
      <c r="O158" s="10">
        <v>286</v>
      </c>
      <c r="P158" s="7">
        <v>3</v>
      </c>
    </row>
    <row r="159" spans="1:16" x14ac:dyDescent="0.3">
      <c r="A159" s="4" t="s">
        <v>20</v>
      </c>
      <c r="B159" s="5" t="s">
        <v>21</v>
      </c>
      <c r="C159" s="5" t="s">
        <v>27</v>
      </c>
      <c r="D159" s="5" t="s">
        <v>7</v>
      </c>
      <c r="E159" s="5" t="s">
        <v>8</v>
      </c>
      <c r="F159" s="5" t="s">
        <v>10</v>
      </c>
      <c r="G159" s="5">
        <v>34</v>
      </c>
      <c r="H159" s="5">
        <v>10</v>
      </c>
      <c r="I159" s="10">
        <f t="shared" si="31"/>
        <v>10682.1</v>
      </c>
      <c r="J159" s="5">
        <v>11</v>
      </c>
      <c r="K159" s="12">
        <v>8416666.6666666605</v>
      </c>
      <c r="L159" s="6">
        <f t="shared" si="32"/>
        <v>14.3</v>
      </c>
      <c r="M159" s="5"/>
      <c r="N159" s="5"/>
      <c r="O159" s="10">
        <v>249</v>
      </c>
      <c r="P159" s="7">
        <v>3</v>
      </c>
    </row>
    <row r="160" spans="1:16" x14ac:dyDescent="0.3">
      <c r="A160" s="4" t="s">
        <v>20</v>
      </c>
      <c r="B160" s="5" t="s">
        <v>21</v>
      </c>
      <c r="C160" s="5" t="s">
        <v>27</v>
      </c>
      <c r="D160" s="5" t="s">
        <v>5</v>
      </c>
      <c r="E160" s="5" t="s">
        <v>8</v>
      </c>
      <c r="F160" s="5" t="s">
        <v>11</v>
      </c>
      <c r="G160" s="5">
        <v>34</v>
      </c>
      <c r="H160" s="5">
        <v>7</v>
      </c>
      <c r="I160" s="10">
        <f t="shared" si="31"/>
        <v>2106.0000000000005</v>
      </c>
      <c r="J160" s="5">
        <v>9</v>
      </c>
      <c r="K160" s="12">
        <v>8416666.6666666605</v>
      </c>
      <c r="L160" s="6">
        <f t="shared" si="32"/>
        <v>11.700000000000001</v>
      </c>
      <c r="M160" s="5"/>
      <c r="N160" s="5"/>
      <c r="O160" s="10">
        <v>60</v>
      </c>
      <c r="P160" s="7">
        <v>3</v>
      </c>
    </row>
    <row r="161" spans="1:16" x14ac:dyDescent="0.3">
      <c r="A161" s="4" t="s">
        <v>20</v>
      </c>
      <c r="B161" s="5" t="s">
        <v>21</v>
      </c>
      <c r="C161" s="5" t="s">
        <v>27</v>
      </c>
      <c r="D161" s="5" t="s">
        <v>6</v>
      </c>
      <c r="E161" s="5" t="s">
        <v>8</v>
      </c>
      <c r="F161" s="5" t="s">
        <v>11</v>
      </c>
      <c r="G161" s="5">
        <v>34</v>
      </c>
      <c r="H161" s="5">
        <v>7</v>
      </c>
      <c r="I161" s="10">
        <f t="shared" si="31"/>
        <v>2745.6000000000004</v>
      </c>
      <c r="J161" s="5">
        <v>16</v>
      </c>
      <c r="K161" s="12">
        <v>8416666.6666666605</v>
      </c>
      <c r="L161" s="6">
        <f t="shared" si="32"/>
        <v>20.8</v>
      </c>
      <c r="M161" s="5"/>
      <c r="N161" s="5"/>
      <c r="O161" s="10">
        <v>44</v>
      </c>
      <c r="P161" s="7">
        <v>3</v>
      </c>
    </row>
    <row r="162" spans="1:16" x14ac:dyDescent="0.3">
      <c r="A162" s="4" t="s">
        <v>20</v>
      </c>
      <c r="B162" s="5" t="s">
        <v>21</v>
      </c>
      <c r="C162" s="5" t="s">
        <v>27</v>
      </c>
      <c r="D162" s="5" t="s">
        <v>7</v>
      </c>
      <c r="E162" s="5" t="s">
        <v>8</v>
      </c>
      <c r="F162" s="5" t="s">
        <v>11</v>
      </c>
      <c r="G162" s="5">
        <v>34</v>
      </c>
      <c r="H162" s="5">
        <v>10</v>
      </c>
      <c r="I162" s="10">
        <f t="shared" si="31"/>
        <v>2145</v>
      </c>
      <c r="J162" s="5">
        <v>11</v>
      </c>
      <c r="K162" s="12">
        <v>8416666.6666666605</v>
      </c>
      <c r="L162" s="6">
        <f t="shared" si="32"/>
        <v>14.3</v>
      </c>
      <c r="M162" s="5"/>
      <c r="N162" s="5"/>
      <c r="O162" s="10">
        <v>50</v>
      </c>
      <c r="P162" s="7">
        <v>3</v>
      </c>
    </row>
    <row r="163" spans="1:16" x14ac:dyDescent="0.3">
      <c r="A163" s="4" t="s">
        <v>20</v>
      </c>
      <c r="B163" s="5" t="s">
        <v>21</v>
      </c>
      <c r="C163" s="5" t="s">
        <v>29</v>
      </c>
      <c r="D163" s="5" t="s">
        <v>5</v>
      </c>
      <c r="E163" s="5" t="s">
        <v>8</v>
      </c>
      <c r="F163" s="5" t="s">
        <v>9</v>
      </c>
      <c r="G163" s="5">
        <v>63</v>
      </c>
      <c r="H163" s="5">
        <v>3</v>
      </c>
      <c r="I163" s="10">
        <f t="shared" ref="I163:I165" si="33">L163*O163</f>
        <v>150684.30000000002</v>
      </c>
      <c r="J163" s="5">
        <v>53</v>
      </c>
      <c r="K163" s="12">
        <v>8416666.6666666605</v>
      </c>
      <c r="L163" s="6">
        <f t="shared" ref="L163:L171" si="34">J163*1.3</f>
        <v>68.900000000000006</v>
      </c>
      <c r="M163" s="5"/>
      <c r="N163" s="5"/>
      <c r="O163" s="10">
        <v>2187</v>
      </c>
      <c r="P163" s="7"/>
    </row>
    <row r="164" spans="1:16" x14ac:dyDescent="0.3">
      <c r="A164" s="4" t="s">
        <v>20</v>
      </c>
      <c r="B164" s="5" t="s">
        <v>21</v>
      </c>
      <c r="C164" s="5" t="s">
        <v>29</v>
      </c>
      <c r="D164" s="5" t="s">
        <v>6</v>
      </c>
      <c r="E164" s="5" t="s">
        <v>8</v>
      </c>
      <c r="F164" s="5" t="s">
        <v>9</v>
      </c>
      <c r="G164" s="5">
        <v>63</v>
      </c>
      <c r="H164" s="5">
        <v>7</v>
      </c>
      <c r="I164" s="10">
        <f t="shared" si="33"/>
        <v>133625.70000000001</v>
      </c>
      <c r="J164" s="5">
        <v>47</v>
      </c>
      <c r="K164" s="12">
        <v>8416666.6666666605</v>
      </c>
      <c r="L164" s="6">
        <f t="shared" si="34"/>
        <v>61.1</v>
      </c>
      <c r="M164" s="5"/>
      <c r="N164" s="5"/>
      <c r="O164" s="10">
        <v>2187</v>
      </c>
      <c r="P164" s="7"/>
    </row>
    <row r="165" spans="1:16" x14ac:dyDescent="0.3">
      <c r="A165" s="4" t="s">
        <v>20</v>
      </c>
      <c r="B165" s="5" t="s">
        <v>21</v>
      </c>
      <c r="C165" s="5" t="s">
        <v>29</v>
      </c>
      <c r="D165" s="5" t="s">
        <v>7</v>
      </c>
      <c r="E165" s="5" t="s">
        <v>8</v>
      </c>
      <c r="F165" s="5" t="s">
        <v>9</v>
      </c>
      <c r="G165" s="5">
        <v>63</v>
      </c>
      <c r="H165" s="5">
        <v>11</v>
      </c>
      <c r="I165" s="10">
        <f t="shared" si="33"/>
        <v>103246</v>
      </c>
      <c r="J165" s="5">
        <v>38</v>
      </c>
      <c r="K165" s="12">
        <v>8416666.6666666605</v>
      </c>
      <c r="L165" s="6">
        <f t="shared" si="34"/>
        <v>49.4</v>
      </c>
      <c r="M165" s="5"/>
      <c r="N165" s="5"/>
      <c r="O165" s="10">
        <v>2090</v>
      </c>
      <c r="P165" s="7"/>
    </row>
    <row r="166" spans="1:16" x14ac:dyDescent="0.3">
      <c r="A166" s="4" t="s">
        <v>20</v>
      </c>
      <c r="B166" s="5" t="s">
        <v>21</v>
      </c>
      <c r="C166" s="5" t="s">
        <v>29</v>
      </c>
      <c r="D166" s="5" t="s">
        <v>5</v>
      </c>
      <c r="E166" s="5" t="s">
        <v>8</v>
      </c>
      <c r="F166" s="5" t="s">
        <v>10</v>
      </c>
      <c r="G166" s="5">
        <v>63</v>
      </c>
      <c r="H166" s="5">
        <v>7</v>
      </c>
      <c r="I166" s="10">
        <f t="shared" ref="I166:I171" si="35">L166*O166*P166</f>
        <v>34105.500000000007</v>
      </c>
      <c r="J166" s="5">
        <v>53</v>
      </c>
      <c r="K166" s="12">
        <v>8416666.6666666605</v>
      </c>
      <c r="L166" s="6">
        <f t="shared" si="34"/>
        <v>68.900000000000006</v>
      </c>
      <c r="M166" s="5"/>
      <c r="N166" s="5"/>
      <c r="O166" s="10">
        <v>165</v>
      </c>
      <c r="P166" s="7">
        <v>3</v>
      </c>
    </row>
    <row r="167" spans="1:16" x14ac:dyDescent="0.3">
      <c r="A167" s="4" t="s">
        <v>20</v>
      </c>
      <c r="B167" s="5" t="s">
        <v>21</v>
      </c>
      <c r="C167" s="5" t="s">
        <v>29</v>
      </c>
      <c r="D167" s="5" t="s">
        <v>6</v>
      </c>
      <c r="E167" s="5" t="s">
        <v>8</v>
      </c>
      <c r="F167" s="5" t="s">
        <v>10</v>
      </c>
      <c r="G167" s="5">
        <v>63</v>
      </c>
      <c r="H167" s="5">
        <v>7</v>
      </c>
      <c r="I167" s="10">
        <f t="shared" si="35"/>
        <v>34643.699999999997</v>
      </c>
      <c r="J167" s="5">
        <v>47</v>
      </c>
      <c r="K167" s="12">
        <v>8416666.6666666605</v>
      </c>
      <c r="L167" s="6">
        <f t="shared" si="34"/>
        <v>61.1</v>
      </c>
      <c r="M167" s="5"/>
      <c r="N167" s="5"/>
      <c r="O167" s="10">
        <v>189</v>
      </c>
      <c r="P167" s="7">
        <v>3</v>
      </c>
    </row>
    <row r="168" spans="1:16" x14ac:dyDescent="0.3">
      <c r="A168" s="4" t="s">
        <v>20</v>
      </c>
      <c r="B168" s="5" t="s">
        <v>21</v>
      </c>
      <c r="C168" s="5" t="s">
        <v>29</v>
      </c>
      <c r="D168" s="5" t="s">
        <v>7</v>
      </c>
      <c r="E168" s="5" t="s">
        <v>8</v>
      </c>
      <c r="F168" s="5" t="s">
        <v>10</v>
      </c>
      <c r="G168" s="5">
        <v>63</v>
      </c>
      <c r="H168" s="5">
        <v>11</v>
      </c>
      <c r="I168" s="10">
        <f t="shared" si="35"/>
        <v>29936.399999999998</v>
      </c>
      <c r="J168" s="5">
        <v>38</v>
      </c>
      <c r="K168" s="12">
        <v>8416666.6666666605</v>
      </c>
      <c r="L168" s="6">
        <f t="shared" si="34"/>
        <v>49.4</v>
      </c>
      <c r="M168" s="5"/>
      <c r="N168" s="5"/>
      <c r="O168" s="10">
        <v>202</v>
      </c>
      <c r="P168" s="7">
        <v>3</v>
      </c>
    </row>
    <row r="169" spans="1:16" x14ac:dyDescent="0.3">
      <c r="A169" s="4" t="s">
        <v>20</v>
      </c>
      <c r="B169" s="5" t="s">
        <v>21</v>
      </c>
      <c r="C169" s="5" t="s">
        <v>29</v>
      </c>
      <c r="D169" s="5" t="s">
        <v>5</v>
      </c>
      <c r="E169" s="5" t="s">
        <v>8</v>
      </c>
      <c r="F169" s="5" t="s">
        <v>11</v>
      </c>
      <c r="G169" s="5">
        <v>63</v>
      </c>
      <c r="H169" s="5">
        <v>7</v>
      </c>
      <c r="I169" s="10">
        <f t="shared" si="35"/>
        <v>14262.300000000001</v>
      </c>
      <c r="J169" s="5">
        <v>53</v>
      </c>
      <c r="K169" s="12">
        <v>8416666.6666666605</v>
      </c>
      <c r="L169" s="6">
        <f t="shared" si="34"/>
        <v>68.900000000000006</v>
      </c>
      <c r="M169" s="5"/>
      <c r="N169" s="5"/>
      <c r="O169" s="10">
        <v>69</v>
      </c>
      <c r="P169" s="7">
        <v>3</v>
      </c>
    </row>
    <row r="170" spans="1:16" x14ac:dyDescent="0.3">
      <c r="A170" s="4" t="s">
        <v>20</v>
      </c>
      <c r="B170" s="5" t="s">
        <v>21</v>
      </c>
      <c r="C170" s="5" t="s">
        <v>29</v>
      </c>
      <c r="D170" s="5" t="s">
        <v>6</v>
      </c>
      <c r="E170" s="5" t="s">
        <v>8</v>
      </c>
      <c r="F170" s="5" t="s">
        <v>11</v>
      </c>
      <c r="G170" s="5">
        <v>63</v>
      </c>
      <c r="H170" s="5">
        <v>7</v>
      </c>
      <c r="I170" s="10">
        <f t="shared" si="35"/>
        <v>16130.400000000001</v>
      </c>
      <c r="J170" s="5">
        <v>47</v>
      </c>
      <c r="K170" s="12">
        <v>8416666.6666666605</v>
      </c>
      <c r="L170" s="6">
        <f t="shared" si="34"/>
        <v>61.1</v>
      </c>
      <c r="M170" s="5"/>
      <c r="N170" s="5"/>
      <c r="O170" s="13">
        <v>88</v>
      </c>
      <c r="P170" s="7">
        <v>3</v>
      </c>
    </row>
    <row r="171" spans="1:16" x14ac:dyDescent="0.3">
      <c r="A171" s="4" t="s">
        <v>20</v>
      </c>
      <c r="B171" s="5" t="s">
        <v>21</v>
      </c>
      <c r="C171" s="5" t="s">
        <v>29</v>
      </c>
      <c r="D171" s="5" t="s">
        <v>7</v>
      </c>
      <c r="E171" s="5" t="s">
        <v>8</v>
      </c>
      <c r="F171" s="5" t="s">
        <v>11</v>
      </c>
      <c r="G171" s="5">
        <v>63</v>
      </c>
      <c r="H171" s="5">
        <v>11</v>
      </c>
      <c r="I171" s="10">
        <f t="shared" si="35"/>
        <v>10077.599999999999</v>
      </c>
      <c r="J171" s="5">
        <v>38</v>
      </c>
      <c r="K171" s="12">
        <v>8416666.6666666605</v>
      </c>
      <c r="L171" s="6">
        <f t="shared" si="34"/>
        <v>49.4</v>
      </c>
      <c r="M171" s="5"/>
      <c r="N171" s="5"/>
      <c r="O171" s="13">
        <v>68</v>
      </c>
      <c r="P171" s="7">
        <v>3</v>
      </c>
    </row>
    <row r="172" spans="1:16" x14ac:dyDescent="0.3">
      <c r="A172" s="4" t="s">
        <v>20</v>
      </c>
      <c r="B172" s="5" t="s">
        <v>21</v>
      </c>
      <c r="C172" s="5" t="s">
        <v>28</v>
      </c>
      <c r="D172" s="5" t="s">
        <v>5</v>
      </c>
      <c r="E172" s="5" t="s">
        <v>8</v>
      </c>
      <c r="F172" s="5" t="s">
        <v>9</v>
      </c>
      <c r="G172" s="5">
        <v>98</v>
      </c>
      <c r="H172" s="5">
        <v>1</v>
      </c>
      <c r="I172" s="10">
        <f t="shared" ref="I172:I174" si="36">L172*O172</f>
        <v>873.59999999999991</v>
      </c>
      <c r="J172" s="5">
        <v>14</v>
      </c>
      <c r="K172" s="12">
        <v>8416666.6666666605</v>
      </c>
      <c r="L172" s="6">
        <f t="shared" ref="L172:L174" si="37">J172*1.3</f>
        <v>18.2</v>
      </c>
      <c r="M172" s="5"/>
      <c r="N172" s="5"/>
      <c r="O172" s="13">
        <v>48</v>
      </c>
      <c r="P172" s="7"/>
    </row>
    <row r="173" spans="1:16" x14ac:dyDescent="0.3">
      <c r="A173" s="4" t="s">
        <v>20</v>
      </c>
      <c r="B173" s="5" t="s">
        <v>21</v>
      </c>
      <c r="C173" s="5" t="s">
        <v>28</v>
      </c>
      <c r="D173" s="5" t="s">
        <v>6</v>
      </c>
      <c r="E173" s="5" t="s">
        <v>8</v>
      </c>
      <c r="F173" s="5" t="s">
        <v>9</v>
      </c>
      <c r="G173" s="5">
        <v>98</v>
      </c>
      <c r="H173" s="5">
        <v>1</v>
      </c>
      <c r="I173" s="10">
        <f t="shared" si="36"/>
        <v>332.8</v>
      </c>
      <c r="J173" s="5">
        <v>4</v>
      </c>
      <c r="K173" s="12">
        <v>8416666.6666666605</v>
      </c>
      <c r="L173" s="6">
        <f t="shared" si="37"/>
        <v>5.2</v>
      </c>
      <c r="M173" s="5"/>
      <c r="N173" s="5"/>
      <c r="O173" s="13">
        <v>64</v>
      </c>
      <c r="P173" s="7"/>
    </row>
    <row r="174" spans="1:16" x14ac:dyDescent="0.3">
      <c r="A174" s="4" t="s">
        <v>20</v>
      </c>
      <c r="B174" s="5" t="s">
        <v>21</v>
      </c>
      <c r="C174" s="5" t="s">
        <v>28</v>
      </c>
      <c r="D174" s="5" t="s">
        <v>7</v>
      </c>
      <c r="E174" s="5" t="s">
        <v>8</v>
      </c>
      <c r="F174" s="5" t="s">
        <v>9</v>
      </c>
      <c r="G174" s="5">
        <v>98</v>
      </c>
      <c r="H174" s="5">
        <v>12</v>
      </c>
      <c r="I174" s="10">
        <f t="shared" si="36"/>
        <v>631.80000000000007</v>
      </c>
      <c r="J174" s="5">
        <v>9</v>
      </c>
      <c r="K174" s="12">
        <v>8416666.6666666605</v>
      </c>
      <c r="L174" s="6">
        <f t="shared" si="37"/>
        <v>11.700000000000001</v>
      </c>
      <c r="M174" s="5"/>
      <c r="N174" s="5"/>
      <c r="O174" s="13">
        <v>54</v>
      </c>
      <c r="P174" s="7"/>
    </row>
    <row r="175" spans="1:16" x14ac:dyDescent="0.3">
      <c r="A175" s="4" t="s">
        <v>20</v>
      </c>
      <c r="B175" s="5" t="s">
        <v>21</v>
      </c>
      <c r="C175" s="5" t="s">
        <v>28</v>
      </c>
      <c r="D175" s="5" t="s">
        <v>5</v>
      </c>
      <c r="E175" s="5" t="s">
        <v>8</v>
      </c>
      <c r="F175" s="5" t="s">
        <v>10</v>
      </c>
      <c r="G175" s="5">
        <v>98</v>
      </c>
      <c r="H175" s="5">
        <v>1</v>
      </c>
      <c r="I175" s="10">
        <f t="shared" ref="I175:I180" si="38">L175*O175*P175</f>
        <v>3494.3999999999996</v>
      </c>
      <c r="J175" s="5">
        <v>14</v>
      </c>
      <c r="K175" s="12">
        <v>8416666.6666666605</v>
      </c>
      <c r="L175" s="6">
        <f t="shared" ref="L175:L180" si="39">J175*1.3</f>
        <v>18.2</v>
      </c>
      <c r="M175" s="5"/>
      <c r="N175" s="5"/>
      <c r="O175" s="13">
        <v>64</v>
      </c>
      <c r="P175" s="7">
        <v>3</v>
      </c>
    </row>
    <row r="176" spans="1:16" x14ac:dyDescent="0.3">
      <c r="A176" s="4" t="s">
        <v>20</v>
      </c>
      <c r="B176" s="5" t="s">
        <v>21</v>
      </c>
      <c r="C176" s="5" t="s">
        <v>28</v>
      </c>
      <c r="D176" s="5" t="s">
        <v>6</v>
      </c>
      <c r="E176" s="5" t="s">
        <v>8</v>
      </c>
      <c r="F176" s="5" t="s">
        <v>10</v>
      </c>
      <c r="G176" s="5">
        <v>98</v>
      </c>
      <c r="H176" s="5">
        <v>1</v>
      </c>
      <c r="I176" s="10">
        <f t="shared" si="38"/>
        <v>1185.5999999999999</v>
      </c>
      <c r="J176" s="5">
        <v>4</v>
      </c>
      <c r="K176" s="12">
        <v>8416666.6666666605</v>
      </c>
      <c r="L176" s="6">
        <f t="shared" si="39"/>
        <v>5.2</v>
      </c>
      <c r="M176" s="5"/>
      <c r="N176" s="5"/>
      <c r="O176" s="13">
        <v>76</v>
      </c>
      <c r="P176" s="7">
        <v>3</v>
      </c>
    </row>
    <row r="177" spans="1:16" x14ac:dyDescent="0.3">
      <c r="A177" s="4" t="s">
        <v>20</v>
      </c>
      <c r="B177" s="5" t="s">
        <v>21</v>
      </c>
      <c r="C177" s="5" t="s">
        <v>28</v>
      </c>
      <c r="D177" s="5" t="s">
        <v>7</v>
      </c>
      <c r="E177" s="5" t="s">
        <v>8</v>
      </c>
      <c r="F177" s="5" t="s">
        <v>10</v>
      </c>
      <c r="G177" s="5">
        <v>98</v>
      </c>
      <c r="H177" s="5">
        <v>12</v>
      </c>
      <c r="I177" s="10">
        <f t="shared" si="38"/>
        <v>1825.2000000000003</v>
      </c>
      <c r="J177" s="5">
        <v>9</v>
      </c>
      <c r="K177" s="12">
        <v>8416666.6666666605</v>
      </c>
      <c r="L177" s="6">
        <f t="shared" si="39"/>
        <v>11.700000000000001</v>
      </c>
      <c r="M177" s="5"/>
      <c r="N177" s="5"/>
      <c r="O177" s="13">
        <v>52</v>
      </c>
      <c r="P177" s="7">
        <v>3</v>
      </c>
    </row>
    <row r="178" spans="1:16" x14ac:dyDescent="0.3">
      <c r="A178" s="4" t="s">
        <v>20</v>
      </c>
      <c r="B178" s="5" t="s">
        <v>21</v>
      </c>
      <c r="C178" s="5" t="s">
        <v>28</v>
      </c>
      <c r="D178" s="5" t="s">
        <v>5</v>
      </c>
      <c r="E178" s="5" t="s">
        <v>8</v>
      </c>
      <c r="F178" s="5" t="s">
        <v>11</v>
      </c>
      <c r="G178" s="5">
        <v>98</v>
      </c>
      <c r="H178" s="5">
        <v>1</v>
      </c>
      <c r="I178" s="10">
        <f t="shared" si="38"/>
        <v>3494.3999999999996</v>
      </c>
      <c r="J178" s="5">
        <v>14</v>
      </c>
      <c r="K178" s="12">
        <v>8416666.6666666605</v>
      </c>
      <c r="L178" s="6">
        <f t="shared" si="39"/>
        <v>18.2</v>
      </c>
      <c r="M178" s="5"/>
      <c r="N178" s="5"/>
      <c r="O178" s="13">
        <v>64</v>
      </c>
      <c r="P178" s="7">
        <v>3</v>
      </c>
    </row>
    <row r="179" spans="1:16" x14ac:dyDescent="0.3">
      <c r="A179" s="4" t="s">
        <v>20</v>
      </c>
      <c r="B179" s="5" t="s">
        <v>21</v>
      </c>
      <c r="C179" s="5" t="s">
        <v>28</v>
      </c>
      <c r="D179" s="5" t="s">
        <v>6</v>
      </c>
      <c r="E179" s="5" t="s">
        <v>8</v>
      </c>
      <c r="F179" s="5" t="s">
        <v>11</v>
      </c>
      <c r="G179" s="5">
        <v>98</v>
      </c>
      <c r="H179" s="5">
        <v>1</v>
      </c>
      <c r="I179" s="10">
        <f t="shared" si="38"/>
        <v>686.40000000000009</v>
      </c>
      <c r="J179" s="5">
        <v>4</v>
      </c>
      <c r="K179" s="12">
        <v>8416666.6666666605</v>
      </c>
      <c r="L179" s="6">
        <f t="shared" si="39"/>
        <v>5.2</v>
      </c>
      <c r="M179" s="5"/>
      <c r="N179" s="5"/>
      <c r="O179" s="13">
        <v>44</v>
      </c>
      <c r="P179" s="7">
        <v>3</v>
      </c>
    </row>
    <row r="180" spans="1:16" x14ac:dyDescent="0.3">
      <c r="A180" s="4" t="s">
        <v>20</v>
      </c>
      <c r="B180" s="5" t="s">
        <v>21</v>
      </c>
      <c r="C180" s="5" t="s">
        <v>28</v>
      </c>
      <c r="D180" s="5" t="s">
        <v>7</v>
      </c>
      <c r="E180" s="5" t="s">
        <v>8</v>
      </c>
      <c r="F180" s="5" t="s">
        <v>11</v>
      </c>
      <c r="G180" s="5">
        <v>98</v>
      </c>
      <c r="H180" s="5">
        <v>12</v>
      </c>
      <c r="I180" s="10">
        <f t="shared" si="38"/>
        <v>2106.0000000000005</v>
      </c>
      <c r="J180" s="5">
        <v>9</v>
      </c>
      <c r="K180" s="12">
        <v>8416666.6666666605</v>
      </c>
      <c r="L180" s="6">
        <f t="shared" si="39"/>
        <v>11.700000000000001</v>
      </c>
      <c r="M180" s="5"/>
      <c r="N180" s="5"/>
      <c r="O180" s="13">
        <v>60</v>
      </c>
      <c r="P180" s="7">
        <v>3</v>
      </c>
    </row>
    <row r="181" spans="1:16" x14ac:dyDescent="0.3">
      <c r="A181" s="4" t="s">
        <v>20</v>
      </c>
      <c r="B181" s="5" t="s">
        <v>22</v>
      </c>
      <c r="C181" s="5" t="s">
        <v>12</v>
      </c>
      <c r="D181" s="5" t="s">
        <v>5</v>
      </c>
      <c r="E181" s="5" t="s">
        <v>8</v>
      </c>
      <c r="F181" s="5" t="s">
        <v>9</v>
      </c>
      <c r="G181" s="5">
        <v>44</v>
      </c>
      <c r="H181" s="5">
        <v>4</v>
      </c>
      <c r="I181" s="10">
        <f t="shared" ref="I181:I183" si="40">L181*O181</f>
        <v>13903.5</v>
      </c>
      <c r="J181" s="5">
        <v>5</v>
      </c>
      <c r="K181" s="12">
        <v>7416666.6666666605</v>
      </c>
      <c r="L181" s="6">
        <f t="shared" ref="L181:L183" si="41">J181*1.3</f>
        <v>6.5</v>
      </c>
      <c r="M181" s="5"/>
      <c r="N181" s="5"/>
      <c r="O181" s="10">
        <v>2139</v>
      </c>
      <c r="P181" s="7"/>
    </row>
    <row r="182" spans="1:16" x14ac:dyDescent="0.3">
      <c r="A182" s="4" t="s">
        <v>20</v>
      </c>
      <c r="B182" s="5" t="s">
        <v>22</v>
      </c>
      <c r="C182" s="5" t="s">
        <v>12</v>
      </c>
      <c r="D182" s="5" t="s">
        <v>6</v>
      </c>
      <c r="E182" s="5" t="s">
        <v>8</v>
      </c>
      <c r="F182" s="5" t="s">
        <v>9</v>
      </c>
      <c r="G182" s="5">
        <v>44</v>
      </c>
      <c r="H182" s="5">
        <v>4</v>
      </c>
      <c r="I182" s="10">
        <f t="shared" si="40"/>
        <v>82180.800000000003</v>
      </c>
      <c r="J182" s="5">
        <v>36</v>
      </c>
      <c r="K182" s="12">
        <v>7416666.6666666605</v>
      </c>
      <c r="L182" s="6">
        <f t="shared" si="41"/>
        <v>46.800000000000004</v>
      </c>
      <c r="M182" s="5"/>
      <c r="N182" s="5"/>
      <c r="O182" s="10">
        <v>1756</v>
      </c>
      <c r="P182" s="7"/>
    </row>
    <row r="183" spans="1:16" x14ac:dyDescent="0.3">
      <c r="A183" s="4" t="s">
        <v>20</v>
      </c>
      <c r="B183" s="5" t="s">
        <v>22</v>
      </c>
      <c r="C183" s="5" t="s">
        <v>12</v>
      </c>
      <c r="D183" s="5" t="s">
        <v>7</v>
      </c>
      <c r="E183" s="5" t="s">
        <v>8</v>
      </c>
      <c r="F183" s="5" t="s">
        <v>9</v>
      </c>
      <c r="G183" s="5">
        <v>44</v>
      </c>
      <c r="H183" s="5">
        <v>11</v>
      </c>
      <c r="I183" s="10">
        <f t="shared" si="40"/>
        <v>12870</v>
      </c>
      <c r="J183" s="5">
        <v>5</v>
      </c>
      <c r="K183" s="12">
        <v>7416666.6666666605</v>
      </c>
      <c r="L183" s="6">
        <f t="shared" si="41"/>
        <v>6.5</v>
      </c>
      <c r="M183" s="5"/>
      <c r="N183" s="5"/>
      <c r="O183" s="10">
        <v>1980</v>
      </c>
      <c r="P183" s="7"/>
    </row>
    <row r="184" spans="1:16" x14ac:dyDescent="0.3">
      <c r="A184" s="4" t="s">
        <v>20</v>
      </c>
      <c r="B184" s="5" t="s">
        <v>22</v>
      </c>
      <c r="C184" s="5" t="s">
        <v>12</v>
      </c>
      <c r="D184" s="5" t="s">
        <v>5</v>
      </c>
      <c r="E184" s="5" t="s">
        <v>8</v>
      </c>
      <c r="F184" s="5" t="s">
        <v>10</v>
      </c>
      <c r="G184" s="5">
        <v>44</v>
      </c>
      <c r="H184" s="5">
        <v>4</v>
      </c>
      <c r="I184" s="10">
        <f t="shared" ref="I184:I189" si="42">L184*O184*P184</f>
        <v>3217.5</v>
      </c>
      <c r="J184" s="5">
        <v>5</v>
      </c>
      <c r="K184" s="12">
        <v>7416666.6666666605</v>
      </c>
      <c r="L184" s="6">
        <f t="shared" ref="L184:L189" si="43">J184*1.3</f>
        <v>6.5</v>
      </c>
      <c r="M184" s="5"/>
      <c r="N184" s="5"/>
      <c r="O184" s="10">
        <v>165</v>
      </c>
      <c r="P184" s="7">
        <v>3</v>
      </c>
    </row>
    <row r="185" spans="1:16" x14ac:dyDescent="0.3">
      <c r="A185" s="4" t="s">
        <v>20</v>
      </c>
      <c r="B185" s="5" t="s">
        <v>22</v>
      </c>
      <c r="C185" s="5" t="s">
        <v>12</v>
      </c>
      <c r="D185" s="5" t="s">
        <v>6</v>
      </c>
      <c r="E185" s="5" t="s">
        <v>8</v>
      </c>
      <c r="F185" s="5" t="s">
        <v>10</v>
      </c>
      <c r="G185" s="5">
        <v>44</v>
      </c>
      <c r="H185" s="5">
        <v>4</v>
      </c>
      <c r="I185" s="10">
        <f t="shared" si="42"/>
        <v>21762.000000000004</v>
      </c>
      <c r="J185" s="5">
        <v>36</v>
      </c>
      <c r="K185" s="12">
        <v>7416666.6666666605</v>
      </c>
      <c r="L185" s="6">
        <f t="shared" si="43"/>
        <v>46.800000000000004</v>
      </c>
      <c r="M185" s="5"/>
      <c r="N185" s="5"/>
      <c r="O185" s="10">
        <v>155</v>
      </c>
      <c r="P185" s="7">
        <v>3</v>
      </c>
    </row>
    <row r="186" spans="1:16" x14ac:dyDescent="0.3">
      <c r="A186" s="4" t="s">
        <v>20</v>
      </c>
      <c r="B186" s="5" t="s">
        <v>22</v>
      </c>
      <c r="C186" s="5" t="s">
        <v>12</v>
      </c>
      <c r="D186" s="5" t="s">
        <v>7</v>
      </c>
      <c r="E186" s="5" t="s">
        <v>8</v>
      </c>
      <c r="F186" s="5" t="s">
        <v>10</v>
      </c>
      <c r="G186" s="5">
        <v>44</v>
      </c>
      <c r="H186" s="5">
        <v>11</v>
      </c>
      <c r="I186" s="10">
        <f t="shared" si="42"/>
        <v>3471</v>
      </c>
      <c r="J186" s="5">
        <v>5</v>
      </c>
      <c r="K186" s="12">
        <v>7416666.6666666605</v>
      </c>
      <c r="L186" s="6">
        <f t="shared" si="43"/>
        <v>6.5</v>
      </c>
      <c r="M186" s="5"/>
      <c r="N186" s="5"/>
      <c r="O186" s="10">
        <v>178</v>
      </c>
      <c r="P186" s="7">
        <v>3</v>
      </c>
    </row>
    <row r="187" spans="1:16" x14ac:dyDescent="0.3">
      <c r="A187" s="4" t="s">
        <v>20</v>
      </c>
      <c r="B187" s="5" t="s">
        <v>22</v>
      </c>
      <c r="C187" s="5" t="s">
        <v>12</v>
      </c>
      <c r="D187" s="5" t="s">
        <v>5</v>
      </c>
      <c r="E187" s="5" t="s">
        <v>8</v>
      </c>
      <c r="F187" s="5" t="s">
        <v>11</v>
      </c>
      <c r="G187" s="5">
        <v>44</v>
      </c>
      <c r="H187" s="5">
        <v>4</v>
      </c>
      <c r="I187" s="10">
        <f t="shared" si="42"/>
        <v>1248</v>
      </c>
      <c r="J187" s="5">
        <v>5</v>
      </c>
      <c r="K187" s="12">
        <v>7416666.6666666605</v>
      </c>
      <c r="L187" s="6">
        <f t="shared" si="43"/>
        <v>6.5</v>
      </c>
      <c r="M187" s="5"/>
      <c r="N187" s="5"/>
      <c r="O187" s="13">
        <v>64</v>
      </c>
      <c r="P187" s="7">
        <v>3</v>
      </c>
    </row>
    <row r="188" spans="1:16" x14ac:dyDescent="0.3">
      <c r="A188" s="4" t="s">
        <v>20</v>
      </c>
      <c r="B188" s="5" t="s">
        <v>22</v>
      </c>
      <c r="C188" s="5" t="s">
        <v>12</v>
      </c>
      <c r="D188" s="5" t="s">
        <v>6</v>
      </c>
      <c r="E188" s="5" t="s">
        <v>8</v>
      </c>
      <c r="F188" s="5" t="s">
        <v>11</v>
      </c>
      <c r="G188" s="5">
        <v>44</v>
      </c>
      <c r="H188" s="5">
        <v>4</v>
      </c>
      <c r="I188" s="10">
        <f t="shared" si="42"/>
        <v>10670.400000000001</v>
      </c>
      <c r="J188" s="5">
        <v>36</v>
      </c>
      <c r="K188" s="12">
        <v>7416666.6666666605</v>
      </c>
      <c r="L188" s="6">
        <f t="shared" si="43"/>
        <v>46.800000000000004</v>
      </c>
      <c r="M188" s="5"/>
      <c r="N188" s="5"/>
      <c r="O188" s="13">
        <v>76</v>
      </c>
      <c r="P188" s="7">
        <v>3</v>
      </c>
    </row>
    <row r="189" spans="1:16" x14ac:dyDescent="0.3">
      <c r="A189" s="4" t="s">
        <v>20</v>
      </c>
      <c r="B189" s="5" t="s">
        <v>22</v>
      </c>
      <c r="C189" s="5" t="s">
        <v>12</v>
      </c>
      <c r="D189" s="5" t="s">
        <v>7</v>
      </c>
      <c r="E189" s="5" t="s">
        <v>8</v>
      </c>
      <c r="F189" s="5" t="s">
        <v>11</v>
      </c>
      <c r="G189" s="5">
        <v>44</v>
      </c>
      <c r="H189" s="5">
        <v>11</v>
      </c>
      <c r="I189" s="10">
        <f t="shared" si="42"/>
        <v>1014</v>
      </c>
      <c r="J189" s="5">
        <v>5</v>
      </c>
      <c r="K189" s="12">
        <v>7416666.6666666605</v>
      </c>
      <c r="L189" s="6">
        <f t="shared" si="43"/>
        <v>6.5</v>
      </c>
      <c r="M189" s="5"/>
      <c r="N189" s="5"/>
      <c r="O189" s="13">
        <v>52</v>
      </c>
      <c r="P189" s="7">
        <v>3</v>
      </c>
    </row>
    <row r="190" spans="1:16" x14ac:dyDescent="0.3">
      <c r="A190" s="4" t="s">
        <v>20</v>
      </c>
      <c r="B190" s="5" t="s">
        <v>22</v>
      </c>
      <c r="C190" s="5" t="s">
        <v>30</v>
      </c>
      <c r="D190" s="5" t="s">
        <v>5</v>
      </c>
      <c r="E190" s="5" t="s">
        <v>8</v>
      </c>
      <c r="F190" s="5" t="s">
        <v>9</v>
      </c>
      <c r="G190" s="5">
        <v>77</v>
      </c>
      <c r="H190" s="5">
        <v>5</v>
      </c>
      <c r="I190" s="10">
        <f t="shared" ref="I190:I192" si="44">L190*O190</f>
        <v>69743.7</v>
      </c>
      <c r="J190" s="5">
        <v>27</v>
      </c>
      <c r="K190" s="12">
        <v>7416666.6666666605</v>
      </c>
      <c r="L190" s="6">
        <f t="shared" ref="L190:L192" si="45">J190*1.3</f>
        <v>35.1</v>
      </c>
      <c r="M190" s="5"/>
      <c r="N190" s="5"/>
      <c r="O190" s="13">
        <v>1987</v>
      </c>
      <c r="P190" s="7"/>
    </row>
    <row r="191" spans="1:16" x14ac:dyDescent="0.3">
      <c r="A191" s="4" t="s">
        <v>20</v>
      </c>
      <c r="B191" s="5" t="s">
        <v>22</v>
      </c>
      <c r="C191" s="5" t="s">
        <v>30</v>
      </c>
      <c r="D191" s="5" t="s">
        <v>6</v>
      </c>
      <c r="E191" s="5" t="s">
        <v>8</v>
      </c>
      <c r="F191" s="5" t="s">
        <v>9</v>
      </c>
      <c r="G191" s="5">
        <v>77</v>
      </c>
      <c r="H191" s="5">
        <v>5</v>
      </c>
      <c r="I191" s="10">
        <f t="shared" si="44"/>
        <v>90550.200000000012</v>
      </c>
      <c r="J191" s="5">
        <v>39</v>
      </c>
      <c r="K191" s="12">
        <v>7416666.6666666605</v>
      </c>
      <c r="L191" s="6">
        <f t="shared" si="45"/>
        <v>50.7</v>
      </c>
      <c r="M191" s="5"/>
      <c r="N191" s="5"/>
      <c r="O191" s="13">
        <v>1786</v>
      </c>
      <c r="P191" s="7"/>
    </row>
    <row r="192" spans="1:16" x14ac:dyDescent="0.3">
      <c r="A192" s="4" t="s">
        <v>20</v>
      </c>
      <c r="B192" s="5" t="s">
        <v>22</v>
      </c>
      <c r="C192" s="5" t="s">
        <v>30</v>
      </c>
      <c r="D192" s="5" t="s">
        <v>7</v>
      </c>
      <c r="E192" s="5" t="s">
        <v>8</v>
      </c>
      <c r="F192" s="5" t="s">
        <v>9</v>
      </c>
      <c r="G192" s="5">
        <v>77</v>
      </c>
      <c r="H192" s="5">
        <v>9</v>
      </c>
      <c r="I192" s="10">
        <f t="shared" si="44"/>
        <v>2574</v>
      </c>
      <c r="J192" s="5">
        <v>33</v>
      </c>
      <c r="K192" s="12">
        <v>7416666.6666666605</v>
      </c>
      <c r="L192" s="6">
        <f t="shared" si="45"/>
        <v>42.9</v>
      </c>
      <c r="M192" s="5"/>
      <c r="N192" s="5"/>
      <c r="O192" s="13">
        <v>60</v>
      </c>
      <c r="P192" s="7"/>
    </row>
    <row r="193" spans="1:16" x14ac:dyDescent="0.3">
      <c r="A193" s="4" t="s">
        <v>20</v>
      </c>
      <c r="B193" s="5" t="s">
        <v>22</v>
      </c>
      <c r="C193" s="5" t="s">
        <v>30</v>
      </c>
      <c r="D193" s="5" t="s">
        <v>5</v>
      </c>
      <c r="E193" s="5" t="s">
        <v>8</v>
      </c>
      <c r="F193" s="5" t="s">
        <v>10</v>
      </c>
      <c r="G193" s="5">
        <v>77</v>
      </c>
      <c r="H193" s="5">
        <v>5</v>
      </c>
      <c r="I193" s="10">
        <f t="shared" ref="I193:I198" si="46">L193*O193*P193</f>
        <v>17374.5</v>
      </c>
      <c r="J193" s="5">
        <v>27</v>
      </c>
      <c r="K193" s="12">
        <v>7416666.6666666605</v>
      </c>
      <c r="L193" s="6">
        <f t="shared" ref="L193:L198" si="47">J193*1.3</f>
        <v>35.1</v>
      </c>
      <c r="M193" s="5"/>
      <c r="N193" s="5"/>
      <c r="O193" s="10">
        <v>165</v>
      </c>
      <c r="P193" s="7">
        <v>3</v>
      </c>
    </row>
    <row r="194" spans="1:16" x14ac:dyDescent="0.3">
      <c r="A194" s="4" t="s">
        <v>20</v>
      </c>
      <c r="B194" s="5" t="s">
        <v>22</v>
      </c>
      <c r="C194" s="5" t="s">
        <v>30</v>
      </c>
      <c r="D194" s="5" t="s">
        <v>6</v>
      </c>
      <c r="E194" s="5" t="s">
        <v>8</v>
      </c>
      <c r="F194" s="5" t="s">
        <v>10</v>
      </c>
      <c r="G194" s="5">
        <v>77</v>
      </c>
      <c r="H194" s="5">
        <v>5</v>
      </c>
      <c r="I194" s="10">
        <f t="shared" si="46"/>
        <v>24336</v>
      </c>
      <c r="J194" s="5">
        <v>39</v>
      </c>
      <c r="K194" s="12">
        <v>7416666.6666666605</v>
      </c>
      <c r="L194" s="6">
        <f t="shared" si="47"/>
        <v>50.7</v>
      </c>
      <c r="M194" s="5"/>
      <c r="N194" s="5"/>
      <c r="O194" s="10">
        <v>160</v>
      </c>
      <c r="P194" s="7">
        <v>3</v>
      </c>
    </row>
    <row r="195" spans="1:16" x14ac:dyDescent="0.3">
      <c r="A195" s="4" t="s">
        <v>20</v>
      </c>
      <c r="B195" s="5" t="s">
        <v>22</v>
      </c>
      <c r="C195" s="5" t="s">
        <v>30</v>
      </c>
      <c r="D195" s="5" t="s">
        <v>7</v>
      </c>
      <c r="E195" s="5" t="s">
        <v>8</v>
      </c>
      <c r="F195" s="5" t="s">
        <v>10</v>
      </c>
      <c r="G195" s="5">
        <v>77</v>
      </c>
      <c r="H195" s="5">
        <v>9</v>
      </c>
      <c r="I195" s="10">
        <f t="shared" si="46"/>
        <v>21879</v>
      </c>
      <c r="J195" s="5">
        <v>33</v>
      </c>
      <c r="K195" s="12">
        <v>7416666.6666666605</v>
      </c>
      <c r="L195" s="6">
        <f t="shared" si="47"/>
        <v>42.9</v>
      </c>
      <c r="M195" s="5"/>
      <c r="N195" s="5"/>
      <c r="O195" s="10">
        <v>170</v>
      </c>
      <c r="P195" s="7">
        <v>3</v>
      </c>
    </row>
    <row r="196" spans="1:16" x14ac:dyDescent="0.3">
      <c r="A196" s="4" t="s">
        <v>20</v>
      </c>
      <c r="B196" s="5" t="s">
        <v>22</v>
      </c>
      <c r="C196" s="5" t="s">
        <v>30</v>
      </c>
      <c r="D196" s="5" t="s">
        <v>5</v>
      </c>
      <c r="E196" s="5" t="s">
        <v>8</v>
      </c>
      <c r="F196" s="5" t="s">
        <v>11</v>
      </c>
      <c r="G196" s="5">
        <v>77</v>
      </c>
      <c r="H196" s="5">
        <v>5</v>
      </c>
      <c r="I196" s="10">
        <f t="shared" si="46"/>
        <v>6739.2000000000007</v>
      </c>
      <c r="J196" s="5">
        <v>27</v>
      </c>
      <c r="K196" s="12">
        <v>7416666.6666666605</v>
      </c>
      <c r="L196" s="6">
        <f t="shared" si="47"/>
        <v>35.1</v>
      </c>
      <c r="M196" s="5"/>
      <c r="N196" s="5"/>
      <c r="O196" s="10">
        <v>64</v>
      </c>
      <c r="P196" s="7">
        <v>3</v>
      </c>
    </row>
    <row r="197" spans="1:16" x14ac:dyDescent="0.3">
      <c r="A197" s="4" t="s">
        <v>20</v>
      </c>
      <c r="B197" s="5" t="s">
        <v>22</v>
      </c>
      <c r="C197" s="5" t="s">
        <v>30</v>
      </c>
      <c r="D197" s="5" t="s">
        <v>6</v>
      </c>
      <c r="E197" s="5" t="s">
        <v>8</v>
      </c>
      <c r="F197" s="5" t="s">
        <v>11</v>
      </c>
      <c r="G197" s="5">
        <v>77</v>
      </c>
      <c r="H197" s="5">
        <v>5</v>
      </c>
      <c r="I197" s="10">
        <f t="shared" si="46"/>
        <v>6692.4000000000005</v>
      </c>
      <c r="J197" s="5">
        <v>39</v>
      </c>
      <c r="K197" s="12">
        <v>7416666.6666666605</v>
      </c>
      <c r="L197" s="6">
        <f t="shared" si="47"/>
        <v>50.7</v>
      </c>
      <c r="M197" s="5"/>
      <c r="N197" s="5"/>
      <c r="O197" s="10">
        <v>44</v>
      </c>
      <c r="P197" s="7">
        <v>3</v>
      </c>
    </row>
    <row r="198" spans="1:16" ht="15" thickBot="1" x14ac:dyDescent="0.35">
      <c r="A198" s="8" t="s">
        <v>20</v>
      </c>
      <c r="B198" s="9" t="s">
        <v>22</v>
      </c>
      <c r="C198" s="9" t="s">
        <v>30</v>
      </c>
      <c r="D198" s="9" t="s">
        <v>7</v>
      </c>
      <c r="E198" s="9" t="s">
        <v>8</v>
      </c>
      <c r="F198" s="9" t="s">
        <v>11</v>
      </c>
      <c r="G198" s="9">
        <v>77</v>
      </c>
      <c r="H198" s="5">
        <v>9</v>
      </c>
      <c r="I198" s="10">
        <f t="shared" si="46"/>
        <v>7722</v>
      </c>
      <c r="J198" s="9">
        <v>33</v>
      </c>
      <c r="K198" s="12">
        <v>7416666.6666666605</v>
      </c>
      <c r="L198" s="6">
        <f t="shared" si="47"/>
        <v>42.9</v>
      </c>
      <c r="M198" s="9"/>
      <c r="N198" s="9"/>
      <c r="O198" s="10">
        <v>60</v>
      </c>
      <c r="P198" s="7">
        <v>3</v>
      </c>
    </row>
    <row r="199" spans="1:16" x14ac:dyDescent="0.3">
      <c r="O199" s="13"/>
    </row>
    <row r="202" spans="1:16" x14ac:dyDescent="0.3">
      <c r="I202" s="13"/>
    </row>
    <row r="203" spans="1:16" x14ac:dyDescent="0.3">
      <c r="I203" s="13"/>
    </row>
  </sheetData>
  <autoFilter ref="A1:P19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10" activePane="bottomLeft" state="frozen"/>
      <selection pane="bottomLeft" activeCell="G12" sqref="G12"/>
    </sheetView>
  </sheetViews>
  <sheetFormatPr defaultRowHeight="14.4" x14ac:dyDescent="0.3"/>
  <cols>
    <col min="1" max="1" width="11.5546875" bestFit="1" customWidth="1"/>
    <col min="2" max="2" width="25.44140625" customWidth="1"/>
    <col min="3" max="3" width="29.21875" customWidth="1"/>
    <col min="4" max="4" width="17" customWidth="1"/>
    <col min="5" max="5" width="15.21875" bestFit="1" customWidth="1"/>
    <col min="6" max="6" width="13.77734375" bestFit="1" customWidth="1"/>
    <col min="7" max="7" width="12.6640625" bestFit="1" customWidth="1"/>
  </cols>
  <sheetData>
    <row r="1" spans="1:7" s="23" customFormat="1" ht="18" x14ac:dyDescent="0.35">
      <c r="A1" s="24" t="s">
        <v>34</v>
      </c>
    </row>
    <row r="2" spans="1:7" x14ac:dyDescent="0.3">
      <c r="B2" s="15" t="s">
        <v>33</v>
      </c>
      <c r="C2" s="5"/>
    </row>
    <row r="3" spans="1:7" x14ac:dyDescent="0.3">
      <c r="B3" s="21" t="s">
        <v>40</v>
      </c>
      <c r="C3" s="22"/>
      <c r="D3" s="21"/>
    </row>
    <row r="4" spans="1:7" x14ac:dyDescent="0.3">
      <c r="B4" t="s">
        <v>46</v>
      </c>
      <c r="C4" s="5"/>
    </row>
    <row r="5" spans="1:7" x14ac:dyDescent="0.3">
      <c r="B5" t="s">
        <v>41</v>
      </c>
      <c r="C5" s="5"/>
    </row>
    <row r="6" spans="1:7" x14ac:dyDescent="0.3">
      <c r="C6" s="5"/>
    </row>
    <row r="7" spans="1:7" x14ac:dyDescent="0.3">
      <c r="B7" s="15" t="s">
        <v>39</v>
      </c>
      <c r="C7" s="5"/>
    </row>
    <row r="8" spans="1:7" x14ac:dyDescent="0.3">
      <c r="B8" t="s">
        <v>43</v>
      </c>
      <c r="C8" s="5"/>
    </row>
    <row r="9" spans="1:7" x14ac:dyDescent="0.3">
      <c r="B9" t="s">
        <v>44</v>
      </c>
      <c r="C9" s="5"/>
    </row>
    <row r="10" spans="1:7" x14ac:dyDescent="0.3">
      <c r="B10" t="s">
        <v>45</v>
      </c>
      <c r="C10" s="5"/>
    </row>
    <row r="11" spans="1:7" x14ac:dyDescent="0.3">
      <c r="C11" s="5"/>
    </row>
    <row r="12" spans="1:7" x14ac:dyDescent="0.3">
      <c r="B12" s="15" t="s">
        <v>2</v>
      </c>
      <c r="C12" s="15" t="s">
        <v>36</v>
      </c>
      <c r="D12" s="15" t="s">
        <v>37</v>
      </c>
      <c r="G12" s="12"/>
    </row>
    <row r="13" spans="1:7" x14ac:dyDescent="0.3">
      <c r="B13" t="s">
        <v>47</v>
      </c>
      <c r="C13" s="5"/>
      <c r="D13" s="16"/>
    </row>
    <row r="14" spans="1:7" x14ac:dyDescent="0.3">
      <c r="B14" t="s">
        <v>42</v>
      </c>
      <c r="C14" s="5"/>
      <c r="D14" s="16"/>
    </row>
    <row r="15" spans="1:7" x14ac:dyDescent="0.3">
      <c r="B15" t="s">
        <v>14</v>
      </c>
      <c r="C15" s="5" t="s">
        <v>15</v>
      </c>
      <c r="D15" s="16">
        <v>59000000</v>
      </c>
    </row>
    <row r="16" spans="1:7" x14ac:dyDescent="0.3">
      <c r="B16" t="s">
        <v>14</v>
      </c>
      <c r="C16" s="5" t="s">
        <v>16</v>
      </c>
      <c r="D16" s="16">
        <v>66000000</v>
      </c>
    </row>
    <row r="17" spans="2:6" x14ac:dyDescent="0.3">
      <c r="B17" t="s">
        <v>14</v>
      </c>
      <c r="C17" s="5" t="s">
        <v>17</v>
      </c>
      <c r="D17" s="16">
        <v>78000000</v>
      </c>
    </row>
    <row r="18" spans="2:6" x14ac:dyDescent="0.3">
      <c r="B18" t="s">
        <v>14</v>
      </c>
      <c r="C18" s="5" t="s">
        <v>18</v>
      </c>
      <c r="D18" s="16">
        <v>40000000</v>
      </c>
    </row>
    <row r="19" spans="2:6" ht="15.6" x14ac:dyDescent="0.3">
      <c r="C19" s="17" t="s">
        <v>38</v>
      </c>
      <c r="D19" s="18">
        <f>SUM(D13:D18)</f>
        <v>243000000</v>
      </c>
    </row>
    <row r="20" spans="2:6" x14ac:dyDescent="0.3">
      <c r="B20" t="s">
        <v>19</v>
      </c>
      <c r="C20" s="5" t="s">
        <v>19</v>
      </c>
      <c r="D20" s="19">
        <v>105000000</v>
      </c>
      <c r="F20" s="14"/>
    </row>
    <row r="21" spans="2:6" ht="15.6" x14ac:dyDescent="0.3">
      <c r="C21" s="17" t="s">
        <v>38</v>
      </c>
      <c r="D21" s="18">
        <f>SUM(D20)</f>
        <v>105000000</v>
      </c>
    </row>
    <row r="22" spans="2:6" ht="13.95" customHeight="1" x14ac:dyDescent="0.3">
      <c r="B22" t="s">
        <v>32</v>
      </c>
      <c r="C22" s="5" t="s">
        <v>23</v>
      </c>
      <c r="D22" s="16">
        <v>51000000</v>
      </c>
    </row>
    <row r="23" spans="2:6" x14ac:dyDescent="0.3">
      <c r="B23" t="s">
        <v>32</v>
      </c>
      <c r="C23" s="5" t="s">
        <v>24</v>
      </c>
      <c r="D23" s="16">
        <v>28000000</v>
      </c>
    </row>
    <row r="24" spans="2:6" x14ac:dyDescent="0.3">
      <c r="B24" t="s">
        <v>32</v>
      </c>
      <c r="C24" s="5" t="s">
        <v>25</v>
      </c>
      <c r="D24" s="16">
        <v>41000000</v>
      </c>
    </row>
    <row r="25" spans="2:6" ht="15.6" x14ac:dyDescent="0.3">
      <c r="C25" s="17" t="s">
        <v>38</v>
      </c>
      <c r="D25" s="18">
        <f>SUM(D22:D24)</f>
        <v>120000000</v>
      </c>
    </row>
    <row r="26" spans="2:6" x14ac:dyDescent="0.3">
      <c r="B26" t="s">
        <v>35</v>
      </c>
      <c r="C26" s="5" t="s">
        <v>21</v>
      </c>
      <c r="D26" s="16">
        <v>101000000</v>
      </c>
    </row>
    <row r="27" spans="2:6" x14ac:dyDescent="0.3">
      <c r="B27" t="s">
        <v>35</v>
      </c>
      <c r="C27" t="s">
        <v>22</v>
      </c>
      <c r="D27" s="16">
        <v>89000000</v>
      </c>
    </row>
    <row r="28" spans="2:6" ht="15.6" x14ac:dyDescent="0.3">
      <c r="C28" s="17" t="s">
        <v>38</v>
      </c>
      <c r="D28" s="20">
        <f>SUM(D26:D27)</f>
        <v>190000000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Test Data Takeda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Maes, Jeroen</dc:creator>
  <cp:lastModifiedBy>Castan, Christophe</cp:lastModifiedBy>
  <dcterms:created xsi:type="dcterms:W3CDTF">2017-07-07T09:20:51Z</dcterms:created>
  <dcterms:modified xsi:type="dcterms:W3CDTF">2017-07-24T08:07:58Z</dcterms:modified>
</cp:coreProperties>
</file>